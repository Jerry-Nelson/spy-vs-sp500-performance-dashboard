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erry Nelson\Desktop\"/>
    </mc:Choice>
  </mc:AlternateContent>
  <xr:revisionPtr revIDLastSave="0" documentId="8_{8A326B57-BE0C-424B-BB0C-E68947E27BE7}" xr6:coauthVersionLast="47" xr6:coauthVersionMax="47" xr10:uidLastSave="{00000000-0000-0000-0000-000000000000}"/>
  <bookViews>
    <workbookView xWindow="-108" yWindow="-108" windowWidth="23256" windowHeight="12456" activeTab="4" xr2:uid="{29A45069-89C4-4A2E-A941-F3FBC6CD26F2}"/>
  </bookViews>
  <sheets>
    <sheet name="Prices" sheetId="1" r:id="rId1"/>
    <sheet name="Returns" sheetId="2" r:id="rId2"/>
    <sheet name="Summary" sheetId="3" r:id="rId3"/>
    <sheet name="Pivot Tables" sheetId="4" r:id="rId4"/>
    <sheet name="Dashboard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5" i="5" l="1"/>
  <c r="V33" i="5"/>
  <c r="V31" i="5"/>
  <c r="V29" i="5"/>
  <c r="V27" i="5"/>
  <c r="V25" i="5"/>
  <c r="V24" i="5"/>
  <c r="I10" i="3"/>
  <c r="M5" i="2"/>
  <c r="N5" i="2" s="1"/>
  <c r="D6" i="3"/>
  <c r="K138" i="2"/>
  <c r="E12" i="3"/>
  <c r="D12" i="3"/>
  <c r="E11" i="3"/>
  <c r="E10" i="3"/>
  <c r="E9" i="3"/>
  <c r="E8" i="3"/>
  <c r="E7" i="3"/>
  <c r="D11" i="3"/>
  <c r="D10" i="3"/>
  <c r="D9" i="3"/>
  <c r="D8" i="3"/>
  <c r="D7" i="3"/>
  <c r="E6" i="3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7" i="2"/>
  <c r="I5" i="2"/>
  <c r="G5" i="2"/>
  <c r="G6" i="2"/>
  <c r="J6" i="2" s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M6" i="2" l="1"/>
  <c r="N6" i="2" s="1"/>
  <c r="H135" i="2"/>
  <c r="H111" i="2"/>
  <c r="H87" i="2"/>
  <c r="H47" i="2"/>
  <c r="H103" i="2"/>
  <c r="H63" i="2"/>
  <c r="H127" i="2"/>
  <c r="H95" i="2"/>
  <c r="H79" i="2"/>
  <c r="H55" i="2"/>
  <c r="H5" i="2"/>
  <c r="H131" i="2"/>
  <c r="H123" i="2"/>
  <c r="H115" i="2"/>
  <c r="H107" i="2"/>
  <c r="H99" i="2"/>
  <c r="H91" i="2"/>
  <c r="H119" i="2"/>
  <c r="H71" i="2"/>
  <c r="H39" i="2"/>
  <c r="I5" i="3"/>
  <c r="I6" i="3" s="1"/>
  <c r="H136" i="2"/>
  <c r="H128" i="2"/>
  <c r="H120" i="2"/>
  <c r="H112" i="2"/>
  <c r="H104" i="2"/>
  <c r="H96" i="2"/>
  <c r="H80" i="2"/>
  <c r="H72" i="2"/>
  <c r="H31" i="2"/>
  <c r="H83" i="2"/>
  <c r="H75" i="2"/>
  <c r="H67" i="2"/>
  <c r="H59" i="2"/>
  <c r="H51" i="2"/>
  <c r="H43" i="2"/>
  <c r="H35" i="2"/>
  <c r="H27" i="2"/>
  <c r="H19" i="2"/>
  <c r="H11" i="2"/>
  <c r="J7" i="2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H23" i="2"/>
  <c r="H15" i="2"/>
  <c r="H7" i="2"/>
  <c r="H137" i="2"/>
  <c r="H121" i="2"/>
  <c r="H113" i="2"/>
  <c r="H88" i="2"/>
  <c r="H64" i="2"/>
  <c r="H56" i="2"/>
  <c r="H48" i="2"/>
  <c r="H40" i="2"/>
  <c r="H32" i="2"/>
  <c r="H24" i="2"/>
  <c r="H16" i="2"/>
  <c r="H8" i="2"/>
  <c r="H129" i="2"/>
  <c r="H105" i="2"/>
  <c r="H97" i="2"/>
  <c r="H89" i="2"/>
  <c r="H81" i="2"/>
  <c r="H73" i="2"/>
  <c r="H65" i="2"/>
  <c r="H57" i="2"/>
  <c r="H49" i="2"/>
  <c r="H41" i="2"/>
  <c r="H33" i="2"/>
  <c r="H25" i="2"/>
  <c r="H17" i="2"/>
  <c r="H9" i="2"/>
  <c r="I6" i="2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H22" i="2"/>
  <c r="H14" i="2"/>
  <c r="H132" i="2"/>
  <c r="H124" i="2"/>
  <c r="H116" i="2"/>
  <c r="H108" i="2"/>
  <c r="H100" i="2"/>
  <c r="H92" i="2"/>
  <c r="H84" i="2"/>
  <c r="H76" i="2"/>
  <c r="H68" i="2"/>
  <c r="H60" i="2"/>
  <c r="H52" i="2"/>
  <c r="H44" i="2"/>
  <c r="H36" i="2"/>
  <c r="H28" i="2"/>
  <c r="H20" i="2"/>
  <c r="H12" i="2"/>
  <c r="H30" i="2"/>
  <c r="H6" i="2"/>
  <c r="H118" i="2"/>
  <c r="H86" i="2"/>
  <c r="H62" i="2"/>
  <c r="H70" i="2"/>
  <c r="H110" i="2"/>
  <c r="H78" i="2"/>
  <c r="H54" i="2"/>
  <c r="H134" i="2"/>
  <c r="H94" i="2"/>
  <c r="H38" i="2"/>
  <c r="H126" i="2"/>
  <c r="H102" i="2"/>
  <c r="H46" i="2"/>
  <c r="H117" i="2"/>
  <c r="H85" i="2"/>
  <c r="H29" i="2"/>
  <c r="H125" i="2"/>
  <c r="H93" i="2"/>
  <c r="H53" i="2"/>
  <c r="H122" i="2"/>
  <c r="H114" i="2"/>
  <c r="H90" i="2"/>
  <c r="H82" i="2"/>
  <c r="H74" i="2"/>
  <c r="H66" i="2"/>
  <c r="H58" i="2"/>
  <c r="H50" i="2"/>
  <c r="H42" i="2"/>
  <c r="H34" i="2"/>
  <c r="H26" i="2"/>
  <c r="H18" i="2"/>
  <c r="H10" i="2"/>
  <c r="H109" i="2"/>
  <c r="H69" i="2"/>
  <c r="H21" i="2"/>
  <c r="H138" i="2"/>
  <c r="H106" i="2"/>
  <c r="H101" i="2"/>
  <c r="H61" i="2"/>
  <c r="H37" i="2"/>
  <c r="H130" i="2"/>
  <c r="H98" i="2"/>
  <c r="H133" i="2"/>
  <c r="H77" i="2"/>
  <c r="H45" i="2"/>
  <c r="H13" i="2"/>
  <c r="M7" i="2" l="1"/>
  <c r="N7" i="2" s="1"/>
  <c r="M8" i="2" l="1"/>
  <c r="N8" i="2" s="1"/>
  <c r="M9" i="2" l="1"/>
  <c r="N9" i="2" s="1"/>
  <c r="M10" i="2" l="1"/>
  <c r="N10" i="2" s="1"/>
  <c r="M11" i="2" l="1"/>
  <c r="N11" i="2" s="1"/>
  <c r="M12" i="2" l="1"/>
  <c r="N12" i="2" s="1"/>
  <c r="M13" i="2" l="1"/>
  <c r="N13" i="2" s="1"/>
  <c r="M14" i="2" l="1"/>
  <c r="N14" i="2" s="1"/>
  <c r="M15" i="2" l="1"/>
  <c r="N15" i="2" s="1"/>
  <c r="M16" i="2" l="1"/>
  <c r="N16" i="2" s="1"/>
  <c r="M17" i="2" l="1"/>
  <c r="N17" i="2" s="1"/>
  <c r="M18" i="2" l="1"/>
  <c r="N18" i="2" s="1"/>
  <c r="M19" i="2" l="1"/>
  <c r="N19" i="2" s="1"/>
  <c r="M20" i="2" l="1"/>
  <c r="N20" i="2" s="1"/>
  <c r="M21" i="2" l="1"/>
  <c r="N21" i="2" s="1"/>
  <c r="M22" i="2" l="1"/>
  <c r="N22" i="2" s="1"/>
  <c r="M23" i="2" l="1"/>
  <c r="N23" i="2" s="1"/>
  <c r="M24" i="2" l="1"/>
  <c r="N24" i="2" s="1"/>
  <c r="M25" i="2" l="1"/>
  <c r="N25" i="2" s="1"/>
  <c r="M26" i="2" l="1"/>
  <c r="N26" i="2" s="1"/>
  <c r="M27" i="2" l="1"/>
  <c r="N27" i="2" s="1"/>
  <c r="M28" i="2" l="1"/>
  <c r="N28" i="2" s="1"/>
  <c r="M29" i="2" l="1"/>
  <c r="N29" i="2" s="1"/>
  <c r="M30" i="2" l="1"/>
  <c r="N30" i="2" s="1"/>
  <c r="M31" i="2" l="1"/>
  <c r="N31" i="2" s="1"/>
  <c r="M32" i="2" l="1"/>
  <c r="N32" i="2" s="1"/>
  <c r="M33" i="2" l="1"/>
  <c r="N33" i="2" s="1"/>
  <c r="M34" i="2" l="1"/>
  <c r="N34" i="2" s="1"/>
  <c r="M35" i="2" l="1"/>
  <c r="N35" i="2" s="1"/>
  <c r="M36" i="2" l="1"/>
  <c r="N36" i="2" s="1"/>
  <c r="M37" i="2" l="1"/>
  <c r="N37" i="2" s="1"/>
  <c r="M38" i="2" l="1"/>
  <c r="N38" i="2" s="1"/>
  <c r="M39" i="2" l="1"/>
  <c r="N39" i="2" s="1"/>
  <c r="M40" i="2" l="1"/>
  <c r="N40" i="2" s="1"/>
  <c r="M41" i="2" l="1"/>
  <c r="N41" i="2" s="1"/>
  <c r="M42" i="2" l="1"/>
  <c r="N42" i="2" s="1"/>
  <c r="M43" i="2" l="1"/>
  <c r="N43" i="2" s="1"/>
  <c r="M44" i="2" l="1"/>
  <c r="N44" i="2" s="1"/>
  <c r="M45" i="2" l="1"/>
  <c r="N45" i="2" s="1"/>
  <c r="M46" i="2" l="1"/>
  <c r="N46" i="2" s="1"/>
  <c r="M47" i="2" l="1"/>
  <c r="N47" i="2" s="1"/>
  <c r="M48" i="2" l="1"/>
  <c r="N48" i="2" s="1"/>
  <c r="M49" i="2" l="1"/>
  <c r="N49" i="2" s="1"/>
  <c r="M50" i="2" l="1"/>
  <c r="N50" i="2" s="1"/>
  <c r="M51" i="2" l="1"/>
  <c r="N51" i="2" s="1"/>
  <c r="M52" i="2" l="1"/>
  <c r="N52" i="2" s="1"/>
  <c r="M53" i="2" l="1"/>
  <c r="N53" i="2" s="1"/>
  <c r="M54" i="2" l="1"/>
  <c r="N54" i="2" s="1"/>
  <c r="M55" i="2" l="1"/>
  <c r="N55" i="2" s="1"/>
  <c r="M56" i="2" l="1"/>
  <c r="N56" i="2" s="1"/>
  <c r="M57" i="2" l="1"/>
  <c r="N57" i="2" s="1"/>
  <c r="M58" i="2" l="1"/>
  <c r="N58" i="2" s="1"/>
  <c r="M59" i="2" l="1"/>
  <c r="N59" i="2" s="1"/>
  <c r="M60" i="2" l="1"/>
  <c r="N60" i="2" s="1"/>
  <c r="M61" i="2" l="1"/>
  <c r="N61" i="2" s="1"/>
  <c r="M62" i="2" l="1"/>
  <c r="N62" i="2" s="1"/>
  <c r="M63" i="2" l="1"/>
  <c r="N63" i="2" s="1"/>
  <c r="M64" i="2" l="1"/>
  <c r="N64" i="2" s="1"/>
  <c r="M65" i="2" l="1"/>
  <c r="N65" i="2" s="1"/>
  <c r="M66" i="2" l="1"/>
  <c r="N66" i="2" s="1"/>
  <c r="M67" i="2" l="1"/>
  <c r="N67" i="2" s="1"/>
  <c r="M68" i="2" l="1"/>
  <c r="N68" i="2" s="1"/>
  <c r="M69" i="2" l="1"/>
  <c r="N69" i="2" s="1"/>
  <c r="M70" i="2" l="1"/>
  <c r="N70" i="2" s="1"/>
  <c r="M71" i="2" l="1"/>
  <c r="N71" i="2" s="1"/>
  <c r="M72" i="2" l="1"/>
  <c r="N72" i="2" s="1"/>
  <c r="M73" i="2" l="1"/>
  <c r="N73" i="2" s="1"/>
  <c r="M74" i="2" l="1"/>
  <c r="N74" i="2" s="1"/>
  <c r="M75" i="2" l="1"/>
  <c r="N75" i="2" s="1"/>
  <c r="M76" i="2" l="1"/>
  <c r="N76" i="2" s="1"/>
  <c r="M77" i="2" l="1"/>
  <c r="N77" i="2" s="1"/>
  <c r="M78" i="2" l="1"/>
  <c r="N78" i="2" s="1"/>
  <c r="M79" i="2" l="1"/>
  <c r="N79" i="2" s="1"/>
  <c r="M80" i="2" l="1"/>
  <c r="N80" i="2" s="1"/>
  <c r="M81" i="2" l="1"/>
  <c r="N81" i="2" s="1"/>
  <c r="M82" i="2" l="1"/>
  <c r="N82" i="2" s="1"/>
  <c r="M83" i="2" l="1"/>
  <c r="N83" i="2" s="1"/>
  <c r="M84" i="2" l="1"/>
  <c r="N84" i="2" s="1"/>
  <c r="M85" i="2" l="1"/>
  <c r="N85" i="2" s="1"/>
  <c r="M86" i="2" l="1"/>
  <c r="N86" i="2" s="1"/>
  <c r="M87" i="2" l="1"/>
  <c r="N87" i="2" s="1"/>
  <c r="M88" i="2" l="1"/>
  <c r="N88" i="2" s="1"/>
  <c r="M89" i="2" l="1"/>
  <c r="N89" i="2" s="1"/>
  <c r="M90" i="2" l="1"/>
  <c r="N90" i="2" s="1"/>
  <c r="M91" i="2" l="1"/>
  <c r="N91" i="2" s="1"/>
  <c r="M92" i="2" l="1"/>
  <c r="N92" i="2" s="1"/>
  <c r="M93" i="2" l="1"/>
  <c r="N93" i="2" s="1"/>
  <c r="M94" i="2" l="1"/>
  <c r="N94" i="2" s="1"/>
  <c r="M95" i="2" l="1"/>
  <c r="N95" i="2" s="1"/>
  <c r="M96" i="2" l="1"/>
  <c r="N96" i="2" s="1"/>
  <c r="M97" i="2" l="1"/>
  <c r="N97" i="2" s="1"/>
  <c r="M98" i="2" l="1"/>
  <c r="N98" i="2" s="1"/>
  <c r="M99" i="2" l="1"/>
  <c r="N99" i="2" s="1"/>
  <c r="M100" i="2" l="1"/>
  <c r="N100" i="2" s="1"/>
  <c r="M101" i="2" l="1"/>
  <c r="N101" i="2" s="1"/>
  <c r="M102" i="2" l="1"/>
  <c r="N102" i="2" s="1"/>
  <c r="M103" i="2" l="1"/>
  <c r="N103" i="2" s="1"/>
  <c r="M104" i="2" l="1"/>
  <c r="N104" i="2" s="1"/>
  <c r="M105" i="2" l="1"/>
  <c r="N105" i="2" s="1"/>
  <c r="M106" i="2" l="1"/>
  <c r="N106" i="2" s="1"/>
  <c r="M107" i="2" l="1"/>
  <c r="N107" i="2" s="1"/>
  <c r="M108" i="2" l="1"/>
  <c r="N108" i="2" s="1"/>
  <c r="M109" i="2" l="1"/>
  <c r="N109" i="2" s="1"/>
  <c r="M110" i="2" l="1"/>
  <c r="N110" i="2" s="1"/>
  <c r="M111" i="2" l="1"/>
  <c r="N111" i="2" s="1"/>
  <c r="M112" i="2" l="1"/>
  <c r="N112" i="2" s="1"/>
  <c r="M113" i="2" l="1"/>
  <c r="N113" i="2" s="1"/>
  <c r="M114" i="2" l="1"/>
  <c r="N114" i="2" s="1"/>
  <c r="M115" i="2" l="1"/>
  <c r="N115" i="2" s="1"/>
  <c r="M116" i="2" l="1"/>
  <c r="N116" i="2" s="1"/>
  <c r="M117" i="2" l="1"/>
  <c r="N117" i="2" s="1"/>
  <c r="M118" i="2" l="1"/>
  <c r="N118" i="2" s="1"/>
  <c r="M119" i="2" l="1"/>
  <c r="N119" i="2" s="1"/>
  <c r="M120" i="2" l="1"/>
  <c r="N120" i="2" s="1"/>
  <c r="M121" i="2" l="1"/>
  <c r="N121" i="2" s="1"/>
  <c r="M122" i="2" l="1"/>
  <c r="N122" i="2" s="1"/>
  <c r="M123" i="2" l="1"/>
  <c r="N123" i="2" s="1"/>
  <c r="M124" i="2" l="1"/>
  <c r="N124" i="2" s="1"/>
  <c r="M125" i="2" l="1"/>
  <c r="N125" i="2" s="1"/>
  <c r="M126" i="2" l="1"/>
  <c r="N126" i="2" s="1"/>
  <c r="M127" i="2" l="1"/>
  <c r="N127" i="2" s="1"/>
  <c r="M128" i="2" l="1"/>
  <c r="N128" i="2" s="1"/>
  <c r="M129" i="2" l="1"/>
  <c r="N129" i="2" s="1"/>
  <c r="M130" i="2" l="1"/>
  <c r="N130" i="2" s="1"/>
  <c r="M131" i="2" l="1"/>
  <c r="N131" i="2" s="1"/>
  <c r="M132" i="2" l="1"/>
  <c r="N132" i="2" s="1"/>
  <c r="M133" i="2" l="1"/>
  <c r="N133" i="2" s="1"/>
  <c r="M134" i="2" l="1"/>
  <c r="N134" i="2" s="1"/>
  <c r="M135" i="2" l="1"/>
  <c r="N135" i="2" s="1"/>
  <c r="M136" i="2" l="1"/>
  <c r="N136" i="2" s="1"/>
  <c r="M137" i="2" l="1"/>
  <c r="N137" i="2" s="1"/>
  <c r="M138" i="2" l="1"/>
  <c r="N138" i="2" s="1"/>
  <c r="O5" i="2" s="1"/>
  <c r="I8" i="3" s="1"/>
</calcChain>
</file>

<file path=xl/sharedStrings.xml><?xml version="1.0" encoding="utf-8"?>
<sst xmlns="http://schemas.openxmlformats.org/spreadsheetml/2006/main" count="84" uniqueCount="51">
  <si>
    <t>Date</t>
  </si>
  <si>
    <t>Fund_Price</t>
  </si>
  <si>
    <t>Benchmark_Price</t>
  </si>
  <si>
    <t>Fund_Return</t>
  </si>
  <si>
    <t>Bench_Return</t>
  </si>
  <si>
    <t>Active_Return</t>
  </si>
  <si>
    <t>Fund_Growth</t>
  </si>
  <si>
    <t>Benchmark_Growth</t>
  </si>
  <si>
    <t>Rolling_12M_Fund</t>
  </si>
  <si>
    <t>Rolling_12M_Benchmark</t>
  </si>
  <si>
    <t>Metric</t>
  </si>
  <si>
    <t>Fund</t>
  </si>
  <si>
    <t>Benchmark</t>
  </si>
  <si>
    <t>YTD</t>
  </si>
  <si>
    <t>1 Year</t>
  </si>
  <si>
    <t>2 Year</t>
  </si>
  <si>
    <t>3 Year</t>
  </si>
  <si>
    <t>4 Year</t>
  </si>
  <si>
    <t>5 Year</t>
  </si>
  <si>
    <t>CAGR</t>
  </si>
  <si>
    <t>Row Labels</t>
  </si>
  <si>
    <t>Grand Total</t>
  </si>
  <si>
    <t>SPY</t>
  </si>
  <si>
    <t>S&amp;P 500</t>
  </si>
  <si>
    <t>Years (Date)</t>
  </si>
  <si>
    <t>(Multiple Items)</t>
  </si>
  <si>
    <t>S&amp;P500</t>
  </si>
  <si>
    <t>Sum of Active_Return</t>
  </si>
  <si>
    <t>SPY vs S&amp;P 500 Performance Dashboard</t>
  </si>
  <si>
    <t>Period: Jan 2015 – Jan 2026 | Frequency: Monthly</t>
  </si>
  <si>
    <t>S.D</t>
  </si>
  <si>
    <t>Annualized</t>
  </si>
  <si>
    <t>Column1</t>
  </si>
  <si>
    <t>Highest Val</t>
  </si>
  <si>
    <t>Drawdown</t>
  </si>
  <si>
    <t>Max DD</t>
  </si>
  <si>
    <t>Active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</si>
  <si>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</si>
  <si>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</si>
  <si>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</si>
  <si>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</si>
  <si>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</si>
  <si>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</si>
  <si>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</si>
  <si>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</si>
  <si>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</si>
  <si>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</si>
  <si>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</si>
  <si>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</si>
  <si>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SPY vs S&amp;P 500</t>
  </si>
  <si>
    <t>Source: Yahoo Finance | Monthly Adjusted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</si>
</sst>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409]d\-mmm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64" fontId="3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10" fontId="0" fillId="0" borderId="0" xfId="0" applyNumberFormat="1"/>
    <xf numFmtId="165" fontId="0" fillId="0" borderId="0" xfId="0" applyNumberFormat="1" applyAlignment="1">
      <alignment horizontal="left"/>
    </xf>
    <xf numFmtId="10" fontId="0" fillId="0" borderId="0" xfId="1" applyNumberFormat="1" applyFont="1"/>
    <xf numFmtId="9" fontId="0" fillId="0" borderId="0" xfId="1" applyFont="1"/>
    <xf numFmtId="0" fontId="0" fillId="0" borderId="0" xfId="0" applyAlignment="1">
      <alignment horizontal="left"/>
    </xf>
    <xf numFmtId="0" fontId="6" fillId="0" borderId="0" xfId="0" applyFont="1"/>
    <xf numFmtId="0" fontId="7" fillId="2" borderId="0" xfId="0" applyFont="1" applyFill="1"/>
    <xf numFmtId="0" fontId="5" fillId="2" borderId="0" xfId="0" applyFont="1" applyFill="1"/>
    <xf numFmtId="0" fontId="0" fillId="0" borderId="0" xfId="0"/>
  </cellXfs>
  <cellStyles count="2">
    <cellStyle name="Normal" xfId="0" builtinId="0"/>
    <cellStyle name="Percent" xfId="1" builtinId="5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165" formatCode="[$-409]d\-mmm;@"/>
    </dxf>
    <dxf>
      <numFmt numFmtId="14" formatCode="0.00%"/>
    </dxf>
    <dxf>
      <numFmt numFmtId="14" formatCode="0.00%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yyyy\-mm\-dd\ hh:mm:ss"/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FF505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[SPY vs S^0P 500.xlsx]Pivot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Fund</a:t>
            </a:r>
            <a:r>
              <a:rPr lang="en-US" baseline="0"/>
              <a:t> vs Benchmark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580927384076988E-2"/>
          <c:y val="0.12894801193329097"/>
          <c:w val="0.87764129483814524"/>
          <c:h val="0.5096356433706655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SPY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Tables'!$A$4:$A$16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'Pivot Tables'!$B$4:$B$16</c:f>
              <c:numCache>
                <c:formatCode>General</c:formatCode>
                <c:ptCount val="12"/>
                <c:pt idx="0">
                  <c:v>12432.874124634576</c:v>
                </c:pt>
                <c:pt idx="1">
                  <c:v>13027.814537321725</c:v>
                </c:pt>
                <c:pt idx="2">
                  <c:v>15560.41067136011</c:v>
                </c:pt>
                <c:pt idx="3">
                  <c:v>17600.764358978067</c:v>
                </c:pt>
                <c:pt idx="4">
                  <c:v>19247.488742735186</c:v>
                </c:pt>
                <c:pt idx="5">
                  <c:v>21484.276588758585</c:v>
                </c:pt>
                <c:pt idx="6">
                  <c:v>29012.113881988462</c:v>
                </c:pt>
                <c:pt idx="7">
                  <c:v>28025.379563020273</c:v>
                </c:pt>
                <c:pt idx="8">
                  <c:v>30207.331382405813</c:v>
                </c:pt>
                <c:pt idx="9">
                  <c:v>38683.459421332991</c:v>
                </c:pt>
                <c:pt idx="10">
                  <c:v>45012.544678047292</c:v>
                </c:pt>
                <c:pt idx="11">
                  <c:v>8340.5864796370734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C3-4253-87CA-13B5A12CE50C}"/>
            </c:ext>
          </c:extLst>
        </c:ser>
        <c:ser>
          <c:idx val="1"/>
          <c:order val="1"/>
          <c:tx>
            <c:strRef>
              <c:f>'Pivot Tables'!$C$3</c:f>
              <c:strCache>
                <c:ptCount val="1"/>
                <c:pt idx="0">
                  <c:v>S&amp;P 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Tables'!$A$4:$A$16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'Pivot Tables'!$C$4:$C$16</c:f>
              <c:numCache>
                <c:formatCode>General</c:formatCode>
                <c:ptCount val="12"/>
                <c:pt idx="0">
                  <c:v>12342.493017481902</c:v>
                </c:pt>
                <c:pt idx="1">
                  <c:v>12666.695221269003</c:v>
                </c:pt>
                <c:pt idx="2">
                  <c:v>14828.345150247589</c:v>
                </c:pt>
                <c:pt idx="3">
                  <c:v>16471.636774689134</c:v>
                </c:pt>
                <c:pt idx="4">
                  <c:v>17672.038562419362</c:v>
                </c:pt>
                <c:pt idx="5">
                  <c:v>19350.197436718616</c:v>
                </c:pt>
                <c:pt idx="6">
                  <c:v>25737.021168383337</c:v>
                </c:pt>
                <c:pt idx="7">
                  <c:v>24527.371238425731</c:v>
                </c:pt>
                <c:pt idx="8">
                  <c:v>26001.057580885896</c:v>
                </c:pt>
                <c:pt idx="9">
                  <c:v>32843.567975882943</c:v>
                </c:pt>
                <c:pt idx="10">
                  <c:v>37752.309710396381</c:v>
                </c:pt>
                <c:pt idx="11">
                  <c:v>6941.658664239364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C3-4253-87CA-13B5A12CE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704208"/>
        <c:axId val="97702288"/>
      </c:lineChart>
      <c:catAx>
        <c:axId val="9770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2288"/>
        <c:crosses val="autoZero"/>
        <c:auto val="1"/>
        <c:lblAlgn val="ctr"/>
        <c:lblOffset val="100"/>
        <c:noMultiLvlLbl val="0"/>
      </c:catAx>
      <c:valAx>
        <c:axId val="9770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[SPY vs S^0P 500.xlsx]Pivot Tables!PivotTable2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Return for the past 12 months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Tables'!$O$3</c:f>
              <c:strCache>
                <c:ptCount val="1"/>
                <c:pt idx="0">
                  <c:v>SPY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Tables'!$N$4:$N$17</c:f>
              <c:strCache>
                <c:ptCount val="14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1/1/2026</c:v>
                </c:pt>
                <c:pt idx="13">
                  <c:v>2/1/2026</c:v>
                </c:pt>
              </c:strCache>
            </c:strRef>
          </c:cat>
          <c:val>
            <c:numRef>
              <c:f>'Pivot Tables'!$O$4:$O$17</c:f>
              <c:numCache>
                <c:formatCode>0.00%</c:formatCode>
                <c:ptCount val="14"/>
                <c:pt idx="0">
                  <c:v>3.0312468119138878E-2</c:v>
                </c:pt>
                <c:pt idx="1">
                  <c:v>-1.2694735727451863E-2</c:v>
                </c:pt>
                <c:pt idx="2">
                  <c:v>-5.8551336035182519E-2</c:v>
                </c:pt>
                <c:pt idx="3">
                  <c:v>-5.6880327218085487E-3</c:v>
                </c:pt>
                <c:pt idx="4">
                  <c:v>6.2845017875814549E-2</c:v>
                </c:pt>
                <c:pt idx="5">
                  <c:v>4.8287008852633956E-2</c:v>
                </c:pt>
                <c:pt idx="6">
                  <c:v>2.6055913547335212E-2</c:v>
                </c:pt>
                <c:pt idx="7">
                  <c:v>2.0519591257208453E-2</c:v>
                </c:pt>
                <c:pt idx="8">
                  <c:v>3.2757089705601199E-2</c:v>
                </c:pt>
                <c:pt idx="9">
                  <c:v>2.6676008952081595E-2</c:v>
                </c:pt>
                <c:pt idx="10">
                  <c:v>1.9499283249212794E-3</c:v>
                </c:pt>
                <c:pt idx="11">
                  <c:v>-2.1510839531860208E-3</c:v>
                </c:pt>
                <c:pt idx="12">
                  <c:v>1.7736268431891099E-2</c:v>
                </c:pt>
                <c:pt idx="13">
                  <c:v>-3.6706477663515165E-3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7-4333-B22F-14D2BEFF01FF}"/>
            </c:ext>
          </c:extLst>
        </c:ser>
        <c:ser>
          <c:idx val="1"/>
          <c:order val="1"/>
          <c:tx>
            <c:strRef>
              <c:f>'Pivot Tables'!$P$3</c:f>
              <c:strCache>
                <c:ptCount val="1"/>
                <c:pt idx="0">
                  <c:v>S&amp;P500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Tables'!$N$4:$N$17</c:f>
              <c:strCache>
                <c:ptCount val="14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1/1/2026</c:v>
                </c:pt>
                <c:pt idx="13">
                  <c:v>2/1/2026</c:v>
                </c:pt>
              </c:strCache>
            </c:strRef>
          </c:cat>
          <c:val>
            <c:numRef>
              <c:f>'Pivot Tables'!$P$4:$P$17</c:f>
              <c:numCache>
                <c:formatCode>0.00%</c:formatCode>
                <c:ptCount val="14"/>
                <c:pt idx="0">
                  <c:v>2.7016304240444086E-2</c:v>
                </c:pt>
                <c:pt idx="1">
                  <c:v>-1.4242092699825116E-2</c:v>
                </c:pt>
                <c:pt idx="2">
                  <c:v>-5.7544697681375427E-2</c:v>
                </c:pt>
                <c:pt idx="3">
                  <c:v>-7.6249433462898374E-3</c:v>
                </c:pt>
                <c:pt idx="4">
                  <c:v>6.1523826140782882E-2</c:v>
                </c:pt>
                <c:pt idx="5">
                  <c:v>4.960683946771579E-2</c:v>
                </c:pt>
                <c:pt idx="6">
                  <c:v>2.1666562530640778E-2</c:v>
                </c:pt>
                <c:pt idx="7">
                  <c:v>1.9066444295036206E-2</c:v>
                </c:pt>
                <c:pt idx="8">
                  <c:v>3.5323687218701598E-2</c:v>
                </c:pt>
                <c:pt idx="9">
                  <c:v>2.2686871904923696E-2</c:v>
                </c:pt>
                <c:pt idx="10">
                  <c:v>1.2996181666717825E-3</c:v>
                </c:pt>
                <c:pt idx="11">
                  <c:v>-5.2413442251394028E-4</c:v>
                </c:pt>
                <c:pt idx="12">
                  <c:v>1.3662958900920313E-2</c:v>
                </c:pt>
                <c:pt idx="13">
                  <c:v>-4.2541998586601085E-3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F7-4333-B22F-14D2BEFF0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3"/>
        <c:axId val="108245168"/>
        <c:axId val="108244688"/>
      </c:barChart>
      <c:catAx>
        <c:axId val="10824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44688"/>
        <c:crosses val="autoZero"/>
        <c:auto val="1"/>
        <c:lblAlgn val="ctr"/>
        <c:lblOffset val="100"/>
        <c:noMultiLvlLbl val="0"/>
      </c:catAx>
      <c:valAx>
        <c:axId val="10824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4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[SPY vs S^0P 500.xlsx]Pivot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Rolling</a:t>
            </a:r>
            <a:r>
              <a:rPr lang="en-US" baseline="0"/>
              <a:t> 12M returns of SPY and S&amp;P500 Index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Tables'!$F$22</c:f>
              <c:strCache>
                <c:ptCount val="1"/>
                <c:pt idx="0">
                  <c:v>SPY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Tables'!$E$23:$E$157</c:f>
              <c:strCache>
                <c:ptCount val="134"/>
                <c:pt idx="0">
                  <c:v>1/1/2015</c:v>
                </c:pt>
                <c:pt idx="1">
                  <c:v>2/1/2015</c:v>
                </c:pt>
                <c:pt idx="2">
                  <c:v>3/1/2015</c:v>
                </c:pt>
                <c:pt idx="3">
                  <c:v>4/1/2015</c:v>
                </c:pt>
                <c:pt idx="4">
                  <c:v>5/1/2015</c:v>
                </c:pt>
                <c:pt idx="5">
                  <c:v>6/1/2015</c:v>
                </c:pt>
                <c:pt idx="6">
                  <c:v>7/1/2015</c:v>
                </c:pt>
                <c:pt idx="7">
                  <c:v>8/1/2015</c:v>
                </c:pt>
                <c:pt idx="8">
                  <c:v>9/1/2015</c:v>
                </c:pt>
                <c:pt idx="9">
                  <c:v>10/1/2015</c:v>
                </c:pt>
                <c:pt idx="10">
                  <c:v>11/1/2015</c:v>
                </c:pt>
                <c:pt idx="11">
                  <c:v>12/1/2015</c:v>
                </c:pt>
                <c:pt idx="12">
                  <c:v>1/1/2016</c:v>
                </c:pt>
                <c:pt idx="13">
                  <c:v>2/1/2016</c:v>
                </c:pt>
                <c:pt idx="14">
                  <c:v>3/1/2016</c:v>
                </c:pt>
                <c:pt idx="15">
                  <c:v>4/1/2016</c:v>
                </c:pt>
                <c:pt idx="16">
                  <c:v>5/1/2016</c:v>
                </c:pt>
                <c:pt idx="17">
                  <c:v>6/1/2016</c:v>
                </c:pt>
                <c:pt idx="18">
                  <c:v>7/1/2016</c:v>
                </c:pt>
                <c:pt idx="19">
                  <c:v>8/1/2016</c:v>
                </c:pt>
                <c:pt idx="20">
                  <c:v>9/1/2016</c:v>
                </c:pt>
                <c:pt idx="21">
                  <c:v>10/1/2016</c:v>
                </c:pt>
                <c:pt idx="22">
                  <c:v>11/1/2016</c:v>
                </c:pt>
                <c:pt idx="23">
                  <c:v>12/1/2016</c:v>
                </c:pt>
                <c:pt idx="24">
                  <c:v>1/1/2017</c:v>
                </c:pt>
                <c:pt idx="25">
                  <c:v>2/1/2017</c:v>
                </c:pt>
                <c:pt idx="26">
                  <c:v>3/1/2017</c:v>
                </c:pt>
                <c:pt idx="27">
                  <c:v>4/1/2017</c:v>
                </c:pt>
                <c:pt idx="28">
                  <c:v>5/1/2017</c:v>
                </c:pt>
                <c:pt idx="29">
                  <c:v>6/1/2017</c:v>
                </c:pt>
                <c:pt idx="30">
                  <c:v>7/1/2017</c:v>
                </c:pt>
                <c:pt idx="31">
                  <c:v>8/1/2017</c:v>
                </c:pt>
                <c:pt idx="32">
                  <c:v>9/1/2017</c:v>
                </c:pt>
                <c:pt idx="33">
                  <c:v>10/1/2017</c:v>
                </c:pt>
                <c:pt idx="34">
                  <c:v>11/1/2017</c:v>
                </c:pt>
                <c:pt idx="35">
                  <c:v>12/1/2017</c:v>
                </c:pt>
                <c:pt idx="36">
                  <c:v>1/1/2018</c:v>
                </c:pt>
                <c:pt idx="37">
                  <c:v>2/1/2018</c:v>
                </c:pt>
                <c:pt idx="38">
                  <c:v>3/1/2018</c:v>
                </c:pt>
                <c:pt idx="39">
                  <c:v>4/1/2018</c:v>
                </c:pt>
                <c:pt idx="40">
                  <c:v>5/1/2018</c:v>
                </c:pt>
                <c:pt idx="41">
                  <c:v>6/1/2018</c:v>
                </c:pt>
                <c:pt idx="42">
                  <c:v>7/1/2018</c:v>
                </c:pt>
                <c:pt idx="43">
                  <c:v>8/1/2018</c:v>
                </c:pt>
                <c:pt idx="44">
                  <c:v>9/1/2018</c:v>
                </c:pt>
                <c:pt idx="45">
                  <c:v>10/1/2018</c:v>
                </c:pt>
                <c:pt idx="46">
                  <c:v>11/1/2018</c:v>
                </c:pt>
                <c:pt idx="47">
                  <c:v>12/1/2018</c:v>
                </c:pt>
                <c:pt idx="48">
                  <c:v>1/1/2019</c:v>
                </c:pt>
                <c:pt idx="49">
                  <c:v>2/1/2019</c:v>
                </c:pt>
                <c:pt idx="50">
                  <c:v>3/1/2019</c:v>
                </c:pt>
                <c:pt idx="51">
                  <c:v>4/1/2019</c:v>
                </c:pt>
                <c:pt idx="52">
                  <c:v>5/1/2019</c:v>
                </c:pt>
                <c:pt idx="53">
                  <c:v>6/1/2019</c:v>
                </c:pt>
                <c:pt idx="54">
                  <c:v>7/1/2019</c:v>
                </c:pt>
                <c:pt idx="55">
                  <c:v>8/1/2019</c:v>
                </c:pt>
                <c:pt idx="56">
                  <c:v>9/1/2019</c:v>
                </c:pt>
                <c:pt idx="57">
                  <c:v>10/1/2019</c:v>
                </c:pt>
                <c:pt idx="58">
                  <c:v>11/1/2019</c:v>
                </c:pt>
                <c:pt idx="59">
                  <c:v>12/1/2019</c:v>
                </c:pt>
                <c:pt idx="60">
                  <c:v>1/1/2020</c:v>
                </c:pt>
                <c:pt idx="61">
                  <c:v>2/1/2020</c:v>
                </c:pt>
                <c:pt idx="62">
                  <c:v>3/1/2020</c:v>
                </c:pt>
                <c:pt idx="63">
                  <c:v>4/1/2020</c:v>
                </c:pt>
                <c:pt idx="64">
                  <c:v>5/1/2020</c:v>
                </c:pt>
                <c:pt idx="65">
                  <c:v>6/1/2020</c:v>
                </c:pt>
                <c:pt idx="66">
                  <c:v>7/1/2020</c:v>
                </c:pt>
                <c:pt idx="67">
                  <c:v>8/1/2020</c:v>
                </c:pt>
                <c:pt idx="68">
                  <c:v>9/1/2020</c:v>
                </c:pt>
                <c:pt idx="69">
                  <c:v>10/1/2020</c:v>
                </c:pt>
                <c:pt idx="70">
                  <c:v>11/1/2020</c:v>
                </c:pt>
                <c:pt idx="71">
                  <c:v>12/1/2020</c:v>
                </c:pt>
                <c:pt idx="72">
                  <c:v>1/1/2021</c:v>
                </c:pt>
                <c:pt idx="73">
                  <c:v>2/1/2021</c:v>
                </c:pt>
                <c:pt idx="74">
                  <c:v>3/1/2021</c:v>
                </c:pt>
                <c:pt idx="75">
                  <c:v>4/1/2021</c:v>
                </c:pt>
                <c:pt idx="76">
                  <c:v>5/1/2021</c:v>
                </c:pt>
                <c:pt idx="77">
                  <c:v>6/1/2021</c:v>
                </c:pt>
                <c:pt idx="78">
                  <c:v>7/1/2021</c:v>
                </c:pt>
                <c:pt idx="79">
                  <c:v>8/1/2021</c:v>
                </c:pt>
                <c:pt idx="80">
                  <c:v>9/1/2021</c:v>
                </c:pt>
                <c:pt idx="81">
                  <c:v>10/1/2021</c:v>
                </c:pt>
                <c:pt idx="82">
                  <c:v>11/1/2021</c:v>
                </c:pt>
                <c:pt idx="83">
                  <c:v>12/1/2021</c:v>
                </c:pt>
                <c:pt idx="84">
                  <c:v>1/1/2022</c:v>
                </c:pt>
                <c:pt idx="85">
                  <c:v>2/1/2022</c:v>
                </c:pt>
                <c:pt idx="86">
                  <c:v>3/1/2022</c:v>
                </c:pt>
                <c:pt idx="87">
                  <c:v>4/1/2022</c:v>
                </c:pt>
                <c:pt idx="88">
                  <c:v>5/1/2022</c:v>
                </c:pt>
                <c:pt idx="89">
                  <c:v>6/1/2022</c:v>
                </c:pt>
                <c:pt idx="90">
                  <c:v>7/1/2022</c:v>
                </c:pt>
                <c:pt idx="91">
                  <c:v>8/1/2022</c:v>
                </c:pt>
                <c:pt idx="92">
                  <c:v>9/1/2022</c:v>
                </c:pt>
                <c:pt idx="93">
                  <c:v>10/1/2022</c:v>
                </c:pt>
                <c:pt idx="94">
                  <c:v>11/1/2022</c:v>
                </c:pt>
                <c:pt idx="95">
                  <c:v>12/1/2022</c:v>
                </c:pt>
                <c:pt idx="96">
                  <c:v>1/1/2023</c:v>
                </c:pt>
                <c:pt idx="97">
                  <c:v>2/1/2023</c:v>
                </c:pt>
                <c:pt idx="98">
                  <c:v>3/1/2023</c:v>
                </c:pt>
                <c:pt idx="99">
                  <c:v>4/1/2023</c:v>
                </c:pt>
                <c:pt idx="100">
                  <c:v>5/1/2023</c:v>
                </c:pt>
                <c:pt idx="101">
                  <c:v>6/1/2023</c:v>
                </c:pt>
                <c:pt idx="102">
                  <c:v>7/1/2023</c:v>
                </c:pt>
                <c:pt idx="103">
                  <c:v>8/1/2023</c:v>
                </c:pt>
                <c:pt idx="104">
                  <c:v>9/1/2023</c:v>
                </c:pt>
                <c:pt idx="105">
                  <c:v>10/1/2023</c:v>
                </c:pt>
                <c:pt idx="106">
                  <c:v>11/1/2023</c:v>
                </c:pt>
                <c:pt idx="107">
                  <c:v>12/1/2023</c:v>
                </c:pt>
                <c:pt idx="108">
                  <c:v>1/1/2024</c:v>
                </c:pt>
                <c:pt idx="109">
                  <c:v>2/1/2024</c:v>
                </c:pt>
                <c:pt idx="110">
                  <c:v>3/1/2024</c:v>
                </c:pt>
                <c:pt idx="111">
                  <c:v>4/1/2024</c:v>
                </c:pt>
                <c:pt idx="112">
                  <c:v>5/1/2024</c:v>
                </c:pt>
                <c:pt idx="113">
                  <c:v>6/1/2024</c:v>
                </c:pt>
                <c:pt idx="114">
                  <c:v>7/1/2024</c:v>
                </c:pt>
                <c:pt idx="115">
                  <c:v>8/1/2024</c:v>
                </c:pt>
                <c:pt idx="116">
                  <c:v>9/1/2024</c:v>
                </c:pt>
                <c:pt idx="117">
                  <c:v>10/1/2024</c:v>
                </c:pt>
                <c:pt idx="118">
                  <c:v>11/1/2024</c:v>
                </c:pt>
                <c:pt idx="119">
                  <c:v>12/1/2024</c:v>
                </c:pt>
                <c:pt idx="120">
                  <c:v>1/1/2025</c:v>
                </c:pt>
                <c:pt idx="121">
                  <c:v>2/1/2025</c:v>
                </c:pt>
                <c:pt idx="122">
                  <c:v>3/1/2025</c:v>
                </c:pt>
                <c:pt idx="123">
                  <c:v>4/1/2025</c:v>
                </c:pt>
                <c:pt idx="124">
                  <c:v>5/1/2025</c:v>
                </c:pt>
                <c:pt idx="125">
                  <c:v>6/1/2025</c:v>
                </c:pt>
                <c:pt idx="126">
                  <c:v>7/1/2025</c:v>
                </c:pt>
                <c:pt idx="127">
                  <c:v>8/1/2025</c:v>
                </c:pt>
                <c:pt idx="128">
                  <c:v>9/1/2025</c:v>
                </c:pt>
                <c:pt idx="129">
                  <c:v>10/1/2025</c:v>
                </c:pt>
                <c:pt idx="130">
                  <c:v>11/1/2025</c:v>
                </c:pt>
                <c:pt idx="131">
                  <c:v>12/1/2025</c:v>
                </c:pt>
                <c:pt idx="132">
                  <c:v>1/1/2026</c:v>
                </c:pt>
                <c:pt idx="133">
                  <c:v>2/1/2026</c:v>
                </c:pt>
              </c:strCache>
            </c:strRef>
          </c:cat>
          <c:val>
            <c:numRef>
              <c:f>'Pivot Tables'!$F$23:$F$157</c:f>
              <c:numCache>
                <c:formatCode>0.00%</c:formatCode>
                <c:ptCount val="134"/>
                <c:pt idx="12">
                  <c:v>-8.6864921297719177E-3</c:v>
                </c:pt>
                <c:pt idx="13">
                  <c:v>-6.2212860667064294E-2</c:v>
                </c:pt>
                <c:pt idx="14">
                  <c:v>1.6136470675783249E-2</c:v>
                </c:pt>
                <c:pt idx="15">
                  <c:v>1.0904762807389834E-2</c:v>
                </c:pt>
                <c:pt idx="16">
                  <c:v>1.5051987567274883E-2</c:v>
                </c:pt>
                <c:pt idx="17">
                  <c:v>3.9351002872841628E-2</c:v>
                </c:pt>
                <c:pt idx="18">
                  <c:v>5.3813260511181307E-2</c:v>
                </c:pt>
                <c:pt idx="19">
                  <c:v>0.12355594187490197</c:v>
                </c:pt>
                <c:pt idx="20">
                  <c:v>0.15321087068271239</c:v>
                </c:pt>
                <c:pt idx="21">
                  <c:v>4.42298849933975E-2</c:v>
                </c:pt>
                <c:pt idx="22">
                  <c:v>7.875416375255713E-2</c:v>
                </c:pt>
                <c:pt idx="23">
                  <c:v>0.12004240628482886</c:v>
                </c:pt>
                <c:pt idx="24">
                  <c:v>0.19975208265993075</c:v>
                </c:pt>
                <c:pt idx="25">
                  <c:v>0.24792315240695176</c:v>
                </c:pt>
                <c:pt idx="26">
                  <c:v>0.17167316706231436</c:v>
                </c:pt>
                <c:pt idx="27">
                  <c:v>0.17771175094463271</c:v>
                </c:pt>
                <c:pt idx="28">
                  <c:v>0.17435488379735437</c:v>
                </c:pt>
                <c:pt idx="29">
                  <c:v>0.17812708815626621</c:v>
                </c:pt>
                <c:pt idx="30">
                  <c:v>0.15966088833881426</c:v>
                </c:pt>
                <c:pt idx="31">
                  <c:v>0.16165370299344972</c:v>
                </c:pt>
                <c:pt idx="32">
                  <c:v>0.18509573363328163</c:v>
                </c:pt>
                <c:pt idx="33">
                  <c:v>0.23431410460232968</c:v>
                </c:pt>
                <c:pt idx="34">
                  <c:v>0.22684715907079703</c:v>
                </c:pt>
                <c:pt idx="35">
                  <c:v>0.21800152885624943</c:v>
                </c:pt>
                <c:pt idx="36">
                  <c:v>0.26304474158243724</c:v>
                </c:pt>
                <c:pt idx="37">
                  <c:v>0.17110478512118793</c:v>
                </c:pt>
                <c:pt idx="38">
                  <c:v>0.13797429523789087</c:v>
                </c:pt>
                <c:pt idx="39">
                  <c:v>0.13222333769695255</c:v>
                </c:pt>
                <c:pt idx="40">
                  <c:v>0.14360688881614014</c:v>
                </c:pt>
                <c:pt idx="41">
                  <c:v>0.1433370659068848</c:v>
                </c:pt>
                <c:pt idx="42">
                  <c:v>0.16136759090258981</c:v>
                </c:pt>
                <c:pt idx="43">
                  <c:v>0.19495115410881156</c:v>
                </c:pt>
                <c:pt idx="44">
                  <c:v>0.1788251944442705</c:v>
                </c:pt>
                <c:pt idx="45">
                  <c:v>7.1634903236531836E-2</c:v>
                </c:pt>
                <c:pt idx="46">
                  <c:v>5.9139423943869902E-2</c:v>
                </c:pt>
                <c:pt idx="47">
                  <c:v>-4.6380841934407023E-2</c:v>
                </c:pt>
                <c:pt idx="48">
                  <c:v>-2.42741513985603E-2</c:v>
                </c:pt>
                <c:pt idx="49">
                  <c:v>4.5365480639157386E-2</c:v>
                </c:pt>
                <c:pt idx="50">
                  <c:v>9.3846380360746176E-2</c:v>
                </c:pt>
                <c:pt idx="51">
                  <c:v>0.13312935201503434</c:v>
                </c:pt>
                <c:pt idx="52">
                  <c:v>3.5691727584814585E-2</c:v>
                </c:pt>
                <c:pt idx="53">
                  <c:v>0.10101877686472932</c:v>
                </c:pt>
                <c:pt idx="54">
                  <c:v>7.8138907668997365E-2</c:v>
                </c:pt>
                <c:pt idx="55">
                  <c:v>2.7296574225430609E-2</c:v>
                </c:pt>
                <c:pt idx="56">
                  <c:v>4.1001210843506351E-2</c:v>
                </c:pt>
                <c:pt idx="57">
                  <c:v>0.14310181448606124</c:v>
                </c:pt>
                <c:pt idx="58">
                  <c:v>0.16290948673615466</c:v>
                </c:pt>
                <c:pt idx="59">
                  <c:v>0.31344434239592489</c:v>
                </c:pt>
                <c:pt idx="60">
                  <c:v>0.21447183599006581</c:v>
                </c:pt>
                <c:pt idx="61">
                  <c:v>8.321357214824758E-2</c:v>
                </c:pt>
                <c:pt idx="62">
                  <c:v>-7.0268044021092171E-2</c:v>
                </c:pt>
                <c:pt idx="63">
                  <c:v>8.1466212572602059E-3</c:v>
                </c:pt>
                <c:pt idx="64">
                  <c:v>0.12812216064703882</c:v>
                </c:pt>
                <c:pt idx="65">
                  <c:v>7.3926986008855292E-2</c:v>
                </c:pt>
                <c:pt idx="66">
                  <c:v>0.11971945059847969</c:v>
                </c:pt>
                <c:pt idx="67">
                  <c:v>0.21827006867945525</c:v>
                </c:pt>
                <c:pt idx="68">
                  <c:v>0.15097614998565198</c:v>
                </c:pt>
                <c:pt idx="69">
                  <c:v>9.7334980352281789E-2</c:v>
                </c:pt>
                <c:pt idx="70">
                  <c:v>0.17419542855694775</c:v>
                </c:pt>
                <c:pt idx="71">
                  <c:v>0.18408633992680926</c:v>
                </c:pt>
                <c:pt idx="72">
                  <c:v>0.1717307495634901</c:v>
                </c:pt>
                <c:pt idx="73">
                  <c:v>0.30784827378130031</c:v>
                </c:pt>
                <c:pt idx="74">
                  <c:v>0.5663681248132566</c:v>
                </c:pt>
                <c:pt idx="75">
                  <c:v>0.45962574058427469</c:v>
                </c:pt>
                <c:pt idx="76">
                  <c:v>0.40239196960030776</c:v>
                </c:pt>
                <c:pt idx="77">
                  <c:v>0.41044460022463697</c:v>
                </c:pt>
                <c:pt idx="78">
                  <c:v>0.36298397764415391</c:v>
                </c:pt>
                <c:pt idx="79">
                  <c:v>0.31197447271749962</c:v>
                </c:pt>
                <c:pt idx="80">
                  <c:v>0.30052193420987072</c:v>
                </c:pt>
                <c:pt idx="81">
                  <c:v>0.42622456504004003</c:v>
                </c:pt>
                <c:pt idx="82">
                  <c:v>0.27596904061096122</c:v>
                </c:pt>
                <c:pt idx="83">
                  <c:v>0.28824926423162422</c:v>
                </c:pt>
                <c:pt idx="84">
                  <c:v>0.23194868653552467</c:v>
                </c:pt>
                <c:pt idx="85">
                  <c:v>0.16324055218135081</c:v>
                </c:pt>
                <c:pt idx="86">
                  <c:v>0.15474539148877622</c:v>
                </c:pt>
                <c:pt idx="87">
                  <c:v>2.9181084441547969E-4</c:v>
                </c:pt>
                <c:pt idx="88">
                  <c:v>-3.989968602037792E-3</c:v>
                </c:pt>
                <c:pt idx="89">
                  <c:v>-0.10710064090384236</c:v>
                </c:pt>
                <c:pt idx="90">
                  <c:v>-4.7119545935648412E-2</c:v>
                </c:pt>
                <c:pt idx="91">
                  <c:v>-0.11241338356531495</c:v>
                </c:pt>
                <c:pt idx="92">
                  <c:v>-0.15585018507984288</c:v>
                </c:pt>
                <c:pt idx="93">
                  <c:v>-0.14631653503373662</c:v>
                </c:pt>
                <c:pt idx="94">
                  <c:v>-9.1559685200487018E-2</c:v>
                </c:pt>
                <c:pt idx="95">
                  <c:v>-0.18263232700536411</c:v>
                </c:pt>
                <c:pt idx="96">
                  <c:v>-8.1873319736936179E-2</c:v>
                </c:pt>
                <c:pt idx="97">
                  <c:v>-7.7734638664049505E-2</c:v>
                </c:pt>
                <c:pt idx="98">
                  <c:v>-7.8842370192177394E-2</c:v>
                </c:pt>
                <c:pt idx="99">
                  <c:v>2.6642980963745608E-2</c:v>
                </c:pt>
                <c:pt idx="100">
                  <c:v>2.9059198630411728E-2</c:v>
                </c:pt>
                <c:pt idx="101">
                  <c:v>0.19493763004574932</c:v>
                </c:pt>
                <c:pt idx="102">
                  <c:v>0.12931293203941452</c:v>
                </c:pt>
                <c:pt idx="103">
                  <c:v>0.15821676402014476</c:v>
                </c:pt>
                <c:pt idx="104">
                  <c:v>0.21636336217276761</c:v>
                </c:pt>
                <c:pt idx="105">
                  <c:v>9.98767664093788E-2</c:v>
                </c:pt>
                <c:pt idx="106">
                  <c:v>0.13712898125671316</c:v>
                </c:pt>
                <c:pt idx="107">
                  <c:v>0.26243336461790284</c:v>
                </c:pt>
                <c:pt idx="108">
                  <c:v>0.2060105245333973</c:v>
                </c:pt>
                <c:pt idx="109">
                  <c:v>0.30167569388612686</c:v>
                </c:pt>
                <c:pt idx="110">
                  <c:v>0.29710048723291543</c:v>
                </c:pt>
                <c:pt idx="111">
                  <c:v>0.22436282598933019</c:v>
                </c:pt>
                <c:pt idx="112">
                  <c:v>0.28038009131558828</c:v>
                </c:pt>
                <c:pt idx="113">
                  <c:v>0.24549009949449388</c:v>
                </c:pt>
                <c:pt idx="114">
                  <c:v>0.22002294506866865</c:v>
                </c:pt>
                <c:pt idx="115">
                  <c:v>0.2691562303590046</c:v>
                </c:pt>
                <c:pt idx="116">
                  <c:v>0.36096504657513184</c:v>
                </c:pt>
                <c:pt idx="117">
                  <c:v>0.37811933538769438</c:v>
                </c:pt>
                <c:pt idx="118">
                  <c:v>0.33807626659805329</c:v>
                </c:pt>
                <c:pt idx="119">
                  <c:v>0.24972180643197403</c:v>
                </c:pt>
                <c:pt idx="120">
                  <c:v>0.26230056227182097</c:v>
                </c:pt>
                <c:pt idx="121">
                  <c:v>0.18446254994500871</c:v>
                </c:pt>
                <c:pt idx="122">
                  <c:v>8.3154171106488095E-2</c:v>
                </c:pt>
                <c:pt idx="123">
                  <c:v>0.11876544496433378</c:v>
                </c:pt>
                <c:pt idx="124">
                  <c:v>0.13182694149332363</c:v>
                </c:pt>
                <c:pt idx="125">
                  <c:v>0.14974404895635834</c:v>
                </c:pt>
                <c:pt idx="126">
                  <c:v>0.16183927551897745</c:v>
                </c:pt>
                <c:pt idx="127">
                  <c:v>0.15860796749441161</c:v>
                </c:pt>
                <c:pt idx="128">
                  <c:v>0.17553913662316167</c:v>
                </c:pt>
                <c:pt idx="129">
                  <c:v>0.21404066041853761</c:v>
                </c:pt>
                <c:pt idx="130">
                  <c:v>0.1479516834374239</c:v>
                </c:pt>
                <c:pt idx="131">
                  <c:v>0.17767279889248863</c:v>
                </c:pt>
                <c:pt idx="132">
                  <c:v>0.16329788958740263</c:v>
                </c:pt>
                <c:pt idx="133">
                  <c:v>0.17393057115051966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7-45A9-AC86-FED430126CD7}"/>
            </c:ext>
          </c:extLst>
        </c:ser>
        <c:ser>
          <c:idx val="1"/>
          <c:order val="1"/>
          <c:tx>
            <c:strRef>
              <c:f>'Pivot Tables'!$G$22</c:f>
              <c:strCache>
                <c:ptCount val="1"/>
                <c:pt idx="0">
                  <c:v>S&amp;P500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Tables'!$E$23:$E$157</c:f>
              <c:strCache>
                <c:ptCount val="134"/>
                <c:pt idx="0">
                  <c:v>1/1/2015</c:v>
                </c:pt>
                <c:pt idx="1">
                  <c:v>2/1/2015</c:v>
                </c:pt>
                <c:pt idx="2">
                  <c:v>3/1/2015</c:v>
                </c:pt>
                <c:pt idx="3">
                  <c:v>4/1/2015</c:v>
                </c:pt>
                <c:pt idx="4">
                  <c:v>5/1/2015</c:v>
                </c:pt>
                <c:pt idx="5">
                  <c:v>6/1/2015</c:v>
                </c:pt>
                <c:pt idx="6">
                  <c:v>7/1/2015</c:v>
                </c:pt>
                <c:pt idx="7">
                  <c:v>8/1/2015</c:v>
                </c:pt>
                <c:pt idx="8">
                  <c:v>9/1/2015</c:v>
                </c:pt>
                <c:pt idx="9">
                  <c:v>10/1/2015</c:v>
                </c:pt>
                <c:pt idx="10">
                  <c:v>11/1/2015</c:v>
                </c:pt>
                <c:pt idx="11">
                  <c:v>12/1/2015</c:v>
                </c:pt>
                <c:pt idx="12">
                  <c:v>1/1/2016</c:v>
                </c:pt>
                <c:pt idx="13">
                  <c:v>2/1/2016</c:v>
                </c:pt>
                <c:pt idx="14">
                  <c:v>3/1/2016</c:v>
                </c:pt>
                <c:pt idx="15">
                  <c:v>4/1/2016</c:v>
                </c:pt>
                <c:pt idx="16">
                  <c:v>5/1/2016</c:v>
                </c:pt>
                <c:pt idx="17">
                  <c:v>6/1/2016</c:v>
                </c:pt>
                <c:pt idx="18">
                  <c:v>7/1/2016</c:v>
                </c:pt>
                <c:pt idx="19">
                  <c:v>8/1/2016</c:v>
                </c:pt>
                <c:pt idx="20">
                  <c:v>9/1/2016</c:v>
                </c:pt>
                <c:pt idx="21">
                  <c:v>10/1/2016</c:v>
                </c:pt>
                <c:pt idx="22">
                  <c:v>11/1/2016</c:v>
                </c:pt>
                <c:pt idx="23">
                  <c:v>12/1/2016</c:v>
                </c:pt>
                <c:pt idx="24">
                  <c:v>1/1/2017</c:v>
                </c:pt>
                <c:pt idx="25">
                  <c:v>2/1/2017</c:v>
                </c:pt>
                <c:pt idx="26">
                  <c:v>3/1/2017</c:v>
                </c:pt>
                <c:pt idx="27">
                  <c:v>4/1/2017</c:v>
                </c:pt>
                <c:pt idx="28">
                  <c:v>5/1/2017</c:v>
                </c:pt>
                <c:pt idx="29">
                  <c:v>6/1/2017</c:v>
                </c:pt>
                <c:pt idx="30">
                  <c:v>7/1/2017</c:v>
                </c:pt>
                <c:pt idx="31">
                  <c:v>8/1/2017</c:v>
                </c:pt>
                <c:pt idx="32">
                  <c:v>9/1/2017</c:v>
                </c:pt>
                <c:pt idx="33">
                  <c:v>10/1/2017</c:v>
                </c:pt>
                <c:pt idx="34">
                  <c:v>11/1/2017</c:v>
                </c:pt>
                <c:pt idx="35">
                  <c:v>12/1/2017</c:v>
                </c:pt>
                <c:pt idx="36">
                  <c:v>1/1/2018</c:v>
                </c:pt>
                <c:pt idx="37">
                  <c:v>2/1/2018</c:v>
                </c:pt>
                <c:pt idx="38">
                  <c:v>3/1/2018</c:v>
                </c:pt>
                <c:pt idx="39">
                  <c:v>4/1/2018</c:v>
                </c:pt>
                <c:pt idx="40">
                  <c:v>5/1/2018</c:v>
                </c:pt>
                <c:pt idx="41">
                  <c:v>6/1/2018</c:v>
                </c:pt>
                <c:pt idx="42">
                  <c:v>7/1/2018</c:v>
                </c:pt>
                <c:pt idx="43">
                  <c:v>8/1/2018</c:v>
                </c:pt>
                <c:pt idx="44">
                  <c:v>9/1/2018</c:v>
                </c:pt>
                <c:pt idx="45">
                  <c:v>10/1/2018</c:v>
                </c:pt>
                <c:pt idx="46">
                  <c:v>11/1/2018</c:v>
                </c:pt>
                <c:pt idx="47">
                  <c:v>12/1/2018</c:v>
                </c:pt>
                <c:pt idx="48">
                  <c:v>1/1/2019</c:v>
                </c:pt>
                <c:pt idx="49">
                  <c:v>2/1/2019</c:v>
                </c:pt>
                <c:pt idx="50">
                  <c:v>3/1/2019</c:v>
                </c:pt>
                <c:pt idx="51">
                  <c:v>4/1/2019</c:v>
                </c:pt>
                <c:pt idx="52">
                  <c:v>5/1/2019</c:v>
                </c:pt>
                <c:pt idx="53">
                  <c:v>6/1/2019</c:v>
                </c:pt>
                <c:pt idx="54">
                  <c:v>7/1/2019</c:v>
                </c:pt>
                <c:pt idx="55">
                  <c:v>8/1/2019</c:v>
                </c:pt>
                <c:pt idx="56">
                  <c:v>9/1/2019</c:v>
                </c:pt>
                <c:pt idx="57">
                  <c:v>10/1/2019</c:v>
                </c:pt>
                <c:pt idx="58">
                  <c:v>11/1/2019</c:v>
                </c:pt>
                <c:pt idx="59">
                  <c:v>12/1/2019</c:v>
                </c:pt>
                <c:pt idx="60">
                  <c:v>1/1/2020</c:v>
                </c:pt>
                <c:pt idx="61">
                  <c:v>2/1/2020</c:v>
                </c:pt>
                <c:pt idx="62">
                  <c:v>3/1/2020</c:v>
                </c:pt>
                <c:pt idx="63">
                  <c:v>4/1/2020</c:v>
                </c:pt>
                <c:pt idx="64">
                  <c:v>5/1/2020</c:v>
                </c:pt>
                <c:pt idx="65">
                  <c:v>6/1/2020</c:v>
                </c:pt>
                <c:pt idx="66">
                  <c:v>7/1/2020</c:v>
                </c:pt>
                <c:pt idx="67">
                  <c:v>8/1/2020</c:v>
                </c:pt>
                <c:pt idx="68">
                  <c:v>9/1/2020</c:v>
                </c:pt>
                <c:pt idx="69">
                  <c:v>10/1/2020</c:v>
                </c:pt>
                <c:pt idx="70">
                  <c:v>11/1/2020</c:v>
                </c:pt>
                <c:pt idx="71">
                  <c:v>12/1/2020</c:v>
                </c:pt>
                <c:pt idx="72">
                  <c:v>1/1/2021</c:v>
                </c:pt>
                <c:pt idx="73">
                  <c:v>2/1/2021</c:v>
                </c:pt>
                <c:pt idx="74">
                  <c:v>3/1/2021</c:v>
                </c:pt>
                <c:pt idx="75">
                  <c:v>4/1/2021</c:v>
                </c:pt>
                <c:pt idx="76">
                  <c:v>5/1/2021</c:v>
                </c:pt>
                <c:pt idx="77">
                  <c:v>6/1/2021</c:v>
                </c:pt>
                <c:pt idx="78">
                  <c:v>7/1/2021</c:v>
                </c:pt>
                <c:pt idx="79">
                  <c:v>8/1/2021</c:v>
                </c:pt>
                <c:pt idx="80">
                  <c:v>9/1/2021</c:v>
                </c:pt>
                <c:pt idx="81">
                  <c:v>10/1/2021</c:v>
                </c:pt>
                <c:pt idx="82">
                  <c:v>11/1/2021</c:v>
                </c:pt>
                <c:pt idx="83">
                  <c:v>12/1/2021</c:v>
                </c:pt>
                <c:pt idx="84">
                  <c:v>1/1/2022</c:v>
                </c:pt>
                <c:pt idx="85">
                  <c:v>2/1/2022</c:v>
                </c:pt>
                <c:pt idx="86">
                  <c:v>3/1/2022</c:v>
                </c:pt>
                <c:pt idx="87">
                  <c:v>4/1/2022</c:v>
                </c:pt>
                <c:pt idx="88">
                  <c:v>5/1/2022</c:v>
                </c:pt>
                <c:pt idx="89">
                  <c:v>6/1/2022</c:v>
                </c:pt>
                <c:pt idx="90">
                  <c:v>7/1/2022</c:v>
                </c:pt>
                <c:pt idx="91">
                  <c:v>8/1/2022</c:v>
                </c:pt>
                <c:pt idx="92">
                  <c:v>9/1/2022</c:v>
                </c:pt>
                <c:pt idx="93">
                  <c:v>10/1/2022</c:v>
                </c:pt>
                <c:pt idx="94">
                  <c:v>11/1/2022</c:v>
                </c:pt>
                <c:pt idx="95">
                  <c:v>12/1/2022</c:v>
                </c:pt>
                <c:pt idx="96">
                  <c:v>1/1/2023</c:v>
                </c:pt>
                <c:pt idx="97">
                  <c:v>2/1/2023</c:v>
                </c:pt>
                <c:pt idx="98">
                  <c:v>3/1/2023</c:v>
                </c:pt>
                <c:pt idx="99">
                  <c:v>4/1/2023</c:v>
                </c:pt>
                <c:pt idx="100">
                  <c:v>5/1/2023</c:v>
                </c:pt>
                <c:pt idx="101">
                  <c:v>6/1/2023</c:v>
                </c:pt>
                <c:pt idx="102">
                  <c:v>7/1/2023</c:v>
                </c:pt>
                <c:pt idx="103">
                  <c:v>8/1/2023</c:v>
                </c:pt>
                <c:pt idx="104">
                  <c:v>9/1/2023</c:v>
                </c:pt>
                <c:pt idx="105">
                  <c:v>10/1/2023</c:v>
                </c:pt>
                <c:pt idx="106">
                  <c:v>11/1/2023</c:v>
                </c:pt>
                <c:pt idx="107">
                  <c:v>12/1/2023</c:v>
                </c:pt>
                <c:pt idx="108">
                  <c:v>1/1/2024</c:v>
                </c:pt>
                <c:pt idx="109">
                  <c:v>2/1/2024</c:v>
                </c:pt>
                <c:pt idx="110">
                  <c:v>3/1/2024</c:v>
                </c:pt>
                <c:pt idx="111">
                  <c:v>4/1/2024</c:v>
                </c:pt>
                <c:pt idx="112">
                  <c:v>5/1/2024</c:v>
                </c:pt>
                <c:pt idx="113">
                  <c:v>6/1/2024</c:v>
                </c:pt>
                <c:pt idx="114">
                  <c:v>7/1/2024</c:v>
                </c:pt>
                <c:pt idx="115">
                  <c:v>8/1/2024</c:v>
                </c:pt>
                <c:pt idx="116">
                  <c:v>9/1/2024</c:v>
                </c:pt>
                <c:pt idx="117">
                  <c:v>10/1/2024</c:v>
                </c:pt>
                <c:pt idx="118">
                  <c:v>11/1/2024</c:v>
                </c:pt>
                <c:pt idx="119">
                  <c:v>12/1/2024</c:v>
                </c:pt>
                <c:pt idx="120">
                  <c:v>1/1/2025</c:v>
                </c:pt>
                <c:pt idx="121">
                  <c:v>2/1/2025</c:v>
                </c:pt>
                <c:pt idx="122">
                  <c:v>3/1/2025</c:v>
                </c:pt>
                <c:pt idx="123">
                  <c:v>4/1/2025</c:v>
                </c:pt>
                <c:pt idx="124">
                  <c:v>5/1/2025</c:v>
                </c:pt>
                <c:pt idx="125">
                  <c:v>6/1/2025</c:v>
                </c:pt>
                <c:pt idx="126">
                  <c:v>7/1/2025</c:v>
                </c:pt>
                <c:pt idx="127">
                  <c:v>8/1/2025</c:v>
                </c:pt>
                <c:pt idx="128">
                  <c:v>9/1/2025</c:v>
                </c:pt>
                <c:pt idx="129">
                  <c:v>10/1/2025</c:v>
                </c:pt>
                <c:pt idx="130">
                  <c:v>11/1/2025</c:v>
                </c:pt>
                <c:pt idx="131">
                  <c:v>12/1/2025</c:v>
                </c:pt>
                <c:pt idx="132">
                  <c:v>1/1/2026</c:v>
                </c:pt>
                <c:pt idx="133">
                  <c:v>2/1/2026</c:v>
                </c:pt>
              </c:strCache>
            </c:strRef>
          </c:cat>
          <c:val>
            <c:numRef>
              <c:f>'Pivot Tables'!$G$23:$G$157</c:f>
              <c:numCache>
                <c:formatCode>0.00%</c:formatCode>
                <c:ptCount val="134"/>
                <c:pt idx="12">
                  <c:v>-2.7443746719535107E-2</c:v>
                </c:pt>
                <c:pt idx="13">
                  <c:v>-8.1857932777975762E-2</c:v>
                </c:pt>
                <c:pt idx="14">
                  <c:v>-3.9411684214913281E-3</c:v>
                </c:pt>
                <c:pt idx="15">
                  <c:v>-9.6906564067612642E-3</c:v>
                </c:pt>
                <c:pt idx="16">
                  <c:v>-4.9539676749033148E-3</c:v>
                </c:pt>
                <c:pt idx="17">
                  <c:v>1.7328207482185373E-2</c:v>
                </c:pt>
                <c:pt idx="18">
                  <c:v>3.3158418345174009E-2</c:v>
                </c:pt>
                <c:pt idx="19">
                  <c:v>0.10078689168715764</c:v>
                </c:pt>
                <c:pt idx="20">
                  <c:v>0.1292896394569838</c:v>
                </c:pt>
                <c:pt idx="21">
                  <c:v>2.2502016247627262E-2</c:v>
                </c:pt>
                <c:pt idx="22">
                  <c:v>5.6911931535803151E-2</c:v>
                </c:pt>
                <c:pt idx="23">
                  <c:v>9.5350226672836449E-2</c:v>
                </c:pt>
                <c:pt idx="24">
                  <c:v>0.17453002136721216</c:v>
                </c:pt>
                <c:pt idx="25">
                  <c:v>0.2232704783954946</c:v>
                </c:pt>
                <c:pt idx="26">
                  <c:v>0.14709622666221786</c:v>
                </c:pt>
                <c:pt idx="27">
                  <c:v>0.15440850956484384</c:v>
                </c:pt>
                <c:pt idx="28">
                  <c:v>0.15014669161765012</c:v>
                </c:pt>
                <c:pt idx="29">
                  <c:v>0.15463146092483468</c:v>
                </c:pt>
                <c:pt idx="30">
                  <c:v>0.13650162764153384</c:v>
                </c:pt>
                <c:pt idx="31">
                  <c:v>0.13851077083078664</c:v>
                </c:pt>
                <c:pt idx="32">
                  <c:v>0.16192175546776497</c:v>
                </c:pt>
                <c:pt idx="33">
                  <c:v>0.2112316290242757</c:v>
                </c:pt>
                <c:pt idx="34">
                  <c:v>0.20409676487393416</c:v>
                </c:pt>
                <c:pt idx="35">
                  <c:v>0.19419965523287919</c:v>
                </c:pt>
                <c:pt idx="36">
                  <c:v>0.23912724876080055</c:v>
                </c:pt>
                <c:pt idx="37">
                  <c:v>0.14815716499221349</c:v>
                </c:pt>
                <c:pt idx="38">
                  <c:v>0.11772455048983224</c:v>
                </c:pt>
                <c:pt idx="39">
                  <c:v>0.11066609473193016</c:v>
                </c:pt>
                <c:pt idx="40">
                  <c:v>0.12168088761990024</c:v>
                </c:pt>
                <c:pt idx="41">
                  <c:v>0.12171288216832739</c:v>
                </c:pt>
                <c:pt idx="42">
                  <c:v>0.14005990502996091</c:v>
                </c:pt>
                <c:pt idx="43">
                  <c:v>0.17392030998398045</c:v>
                </c:pt>
                <c:pt idx="44">
                  <c:v>0.15663496134766519</c:v>
                </c:pt>
                <c:pt idx="45">
                  <c:v>5.2996582850355009E-2</c:v>
                </c:pt>
                <c:pt idx="46">
                  <c:v>4.2525566905509966E-2</c:v>
                </c:pt>
                <c:pt idx="47">
                  <c:v>-6.237259849620682E-2</c:v>
                </c:pt>
                <c:pt idx="48">
                  <c:v>-4.2393064141543306E-2</c:v>
                </c:pt>
                <c:pt idx="49">
                  <c:v>2.6036969918984139E-2</c:v>
                </c:pt>
                <c:pt idx="50">
                  <c:v>7.3282583606329443E-2</c:v>
                </c:pt>
                <c:pt idx="51">
                  <c:v>0.11245256842054603</c:v>
                </c:pt>
                <c:pt idx="52">
                  <c:v>1.729588496700505E-2</c:v>
                </c:pt>
                <c:pt idx="53">
                  <c:v>8.2177879739661897E-2</c:v>
                </c:pt>
                <c:pt idx="54">
                  <c:v>5.8264540041700751E-2</c:v>
                </c:pt>
                <c:pt idx="55">
                  <c:v>8.5954745231360246E-3</c:v>
                </c:pt>
                <c:pt idx="56">
                  <c:v>2.1537556944893378E-2</c:v>
                </c:pt>
                <c:pt idx="57">
                  <c:v>0.12015166259771626</c:v>
                </c:pt>
                <c:pt idx="58">
                  <c:v>0.13796616490011726</c:v>
                </c:pt>
                <c:pt idx="59">
                  <c:v>0.28878070225158448</c:v>
                </c:pt>
                <c:pt idx="60">
                  <c:v>0.19282567325334413</c:v>
                </c:pt>
                <c:pt idx="61">
                  <c:v>6.0955500312092542E-2</c:v>
                </c:pt>
                <c:pt idx="62">
                  <c:v>-8.813499261221347E-2</c:v>
                </c:pt>
                <c:pt idx="63">
                  <c:v>-1.1338110345330561E-2</c:v>
                </c:pt>
                <c:pt idx="64">
                  <c:v>0.10619317666683994</c:v>
                </c:pt>
                <c:pt idx="65">
                  <c:v>5.3889518101616102E-2</c:v>
                </c:pt>
                <c:pt idx="66">
                  <c:v>9.7551401434315371E-2</c:v>
                </c:pt>
                <c:pt idx="67">
                  <c:v>0.19609019269561967</c:v>
                </c:pt>
                <c:pt idx="68">
                  <c:v>0.12975940493049667</c:v>
                </c:pt>
                <c:pt idx="69">
                  <c:v>7.6508743155959333E-2</c:v>
                </c:pt>
                <c:pt idx="70">
                  <c:v>0.15302545872069498</c:v>
                </c:pt>
                <c:pt idx="71">
                  <c:v>0.16258923055706165</c:v>
                </c:pt>
                <c:pt idx="72">
                  <c:v>0.15151664467863027</c:v>
                </c:pt>
                <c:pt idx="73">
                  <c:v>0.29006977819484098</c:v>
                </c:pt>
                <c:pt idx="74">
                  <c:v>0.53714506265113027</c:v>
                </c:pt>
                <c:pt idx="75">
                  <c:v>0.43562936105373379</c:v>
                </c:pt>
                <c:pt idx="76">
                  <c:v>0.38097295688181093</c:v>
                </c:pt>
                <c:pt idx="77">
                  <c:v>0.3861606320225206</c:v>
                </c:pt>
                <c:pt idx="78">
                  <c:v>0.34365587571392275</c:v>
                </c:pt>
                <c:pt idx="79">
                  <c:v>0.29207987294652327</c:v>
                </c:pt>
                <c:pt idx="80">
                  <c:v>0.28086233692016055</c:v>
                </c:pt>
                <c:pt idx="81">
                  <c:v>0.40839029768796742</c:v>
                </c:pt>
                <c:pt idx="82">
                  <c:v>0.26103443691859002</c:v>
                </c:pt>
                <c:pt idx="83">
                  <c:v>0.26892738661371246</c:v>
                </c:pt>
                <c:pt idx="84">
                  <c:v>0.21573991356507929</c:v>
                </c:pt>
                <c:pt idx="85">
                  <c:v>0.14766935268444834</c:v>
                </c:pt>
                <c:pt idx="86">
                  <c:v>0.14033116415166585</c:v>
                </c:pt>
                <c:pt idx="87">
                  <c:v>-1.1776547476852835E-2</c:v>
                </c:pt>
                <c:pt idx="88">
                  <c:v>-1.7116574798865088E-2</c:v>
                </c:pt>
                <c:pt idx="89">
                  <c:v>-0.11916698480221059</c:v>
                </c:pt>
                <c:pt idx="90">
                  <c:v>-6.0285339363741031E-2</c:v>
                </c:pt>
                <c:pt idx="91">
                  <c:v>-0.12551853186991907</c:v>
                </c:pt>
                <c:pt idx="92">
                  <c:v>-0.16759447743453124</c:v>
                </c:pt>
                <c:pt idx="93">
                  <c:v>-0.15924851391322437</c:v>
                </c:pt>
                <c:pt idx="94">
                  <c:v>-0.10661044286799322</c:v>
                </c:pt>
                <c:pt idx="95">
                  <c:v>-0.19442827203429272</c:v>
                </c:pt>
                <c:pt idx="96">
                  <c:v>-9.7208474276063855E-2</c:v>
                </c:pt>
                <c:pt idx="97">
                  <c:v>-9.2317234454910899E-2</c:v>
                </c:pt>
                <c:pt idx="98">
                  <c:v>-9.2949663084106113E-2</c:v>
                </c:pt>
                <c:pt idx="99">
                  <c:v>9.0877152057392222E-3</c:v>
                </c:pt>
                <c:pt idx="100">
                  <c:v>1.1538830126711004E-2</c:v>
                </c:pt>
                <c:pt idx="101">
                  <c:v>0.17567589530959085</c:v>
                </c:pt>
                <c:pt idx="102">
                  <c:v>0.11105029369296052</c:v>
                </c:pt>
                <c:pt idx="103">
                  <c:v>0.13973708122629583</c:v>
                </c:pt>
                <c:pt idx="104">
                  <c:v>0.19590187039974943</c:v>
                </c:pt>
                <c:pt idx="105">
                  <c:v>8.3115053755982951E-2</c:v>
                </c:pt>
                <c:pt idx="106">
                  <c:v>0.11952856281464046</c:v>
                </c:pt>
                <c:pt idx="107">
                  <c:v>0.242305007976299</c:v>
                </c:pt>
                <c:pt idx="108">
                  <c:v>0.18864980284174745</c:v>
                </c:pt>
                <c:pt idx="109">
                  <c:v>0.28364675009442414</c:v>
                </c:pt>
                <c:pt idx="110">
                  <c:v>0.27864532554994037</c:v>
                </c:pt>
                <c:pt idx="111">
                  <c:v>0.20775011871866983</c:v>
                </c:pt>
                <c:pt idx="112">
                  <c:v>0.26261347159652965</c:v>
                </c:pt>
                <c:pt idx="113">
                  <c:v>0.22696941030973261</c:v>
                </c:pt>
                <c:pt idx="114">
                  <c:v>0.20338809919782427</c:v>
                </c:pt>
                <c:pt idx="115">
                  <c:v>0.25306693640426325</c:v>
                </c:pt>
                <c:pt idx="116">
                  <c:v>0.34384632710409996</c:v>
                </c:pt>
                <c:pt idx="117">
                  <c:v>0.36044886762009859</c:v>
                </c:pt>
                <c:pt idx="118">
                  <c:v>0.32063140696797621</c:v>
                </c:pt>
                <c:pt idx="119">
                  <c:v>0.23309002343424021</c:v>
                </c:pt>
                <c:pt idx="120">
                  <c:v>0.24658815781027824</c:v>
                </c:pt>
                <c:pt idx="121">
                  <c:v>0.16840355341840563</c:v>
                </c:pt>
                <c:pt idx="122">
                  <c:v>6.8038861772736853E-2</c:v>
                </c:pt>
                <c:pt idx="123">
                  <c:v>0.10591798212233711</c:v>
                </c:pt>
                <c:pt idx="124">
                  <c:v>0.12016655656650327</c:v>
                </c:pt>
                <c:pt idx="125">
                  <c:v>0.13633787093929453</c:v>
                </c:pt>
                <c:pt idx="126">
                  <c:v>0.14796196529164865</c:v>
                </c:pt>
                <c:pt idx="127">
                  <c:v>0.14373271675477092</c:v>
                </c:pt>
                <c:pt idx="128">
                  <c:v>0.16069122732005153</c:v>
                </c:pt>
                <c:pt idx="129">
                  <c:v>0.19888877497034171</c:v>
                </c:pt>
                <c:pt idx="130">
                  <c:v>0.13538768724835712</c:v>
                </c:pt>
                <c:pt idx="131">
                  <c:v>0.16387806380067441</c:v>
                </c:pt>
                <c:pt idx="132">
                  <c:v>0.14874523128880798</c:v>
                </c:pt>
                <c:pt idx="133">
                  <c:v>0.16038454372743302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A7-45A9-AC86-FED430126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965024"/>
        <c:axId val="90962144"/>
      </c:lineChart>
      <c:dateAx>
        <c:axId val="90965024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2144"/>
        <c:crosses val="autoZero"/>
        <c:auto val="0"/>
        <c:lblOffset val="100"/>
        <c:baseTimeUnit val="days"/>
      </c:dateAx>
      <c:valAx>
        <c:axId val="909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[SPY vs S^0P 500.xlsx]Pivot 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</a:t>
            </a:r>
            <a:r>
              <a:rPr lang="en-US" baseline="0"/>
              <a:t> return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Tables'!$R$22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Tables'!$Q$23:$Q$35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'Pivot Tables'!$R$23:$R$35</c:f>
              <c:numCache>
                <c:formatCode>0.00%</c:formatCode>
                <c:ptCount val="12"/>
                <c:pt idx="0">
                  <c:v>1.3411766672219848E-2</c:v>
                </c:pt>
                <c:pt idx="1">
                  <c:v>2.1928220420036691E-2</c:v>
                </c:pt>
                <c:pt idx="2">
                  <c:v>2.0298034571515054E-2</c:v>
                </c:pt>
                <c:pt idx="3">
                  <c:v>1.74428048769193E-2</c:v>
                </c:pt>
                <c:pt idx="4">
                  <c:v>1.9538953945333722E-2</c:v>
                </c:pt>
                <c:pt idx="5">
                  <c:v>1.9753235377372912E-2</c:v>
                </c:pt>
                <c:pt idx="6">
                  <c:v>1.574372040806107E-2</c:v>
                </c:pt>
                <c:pt idx="7">
                  <c:v>1.5649582064614392E-2</c:v>
                </c:pt>
                <c:pt idx="8">
                  <c:v>1.6465470387790303E-2</c:v>
                </c:pt>
                <c:pt idx="9">
                  <c:v>1.3488256618518504E-2</c:v>
                </c:pt>
                <c:pt idx="10">
                  <c:v>1.2063552382193671E-2</c:v>
                </c:pt>
                <c:pt idx="11">
                  <c:v>4.6568616232793777E-3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F-4269-8966-56D8E8E14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630848"/>
        <c:axId val="90967424"/>
      </c:lineChart>
      <c:catAx>
        <c:axId val="11663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7424"/>
        <c:crosses val="autoZero"/>
        <c:auto val="1"/>
        <c:lblAlgn val="ctr"/>
        <c:lblOffset val="100"/>
        <c:noMultiLvlLbl val="0"/>
      </c:catAx>
      <c:valAx>
        <c:axId val="9096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[SPY vs S^0P 500.xlsx]Pivot Tables!PivotTable1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90000"/>
                    <a:lumOff val="10000"/>
                  </a:schemeClr>
                </a:solidFill>
              </a:rPr>
              <a:t>Growth</a:t>
            </a:r>
            <a:r>
              <a:rPr lang="en-US" baseline="0">
                <a:solidFill>
                  <a:schemeClr val="tx2">
                    <a:lumMod val="90000"/>
                    <a:lumOff val="10000"/>
                  </a:schemeClr>
                </a:solidFill>
              </a:rPr>
              <a:t> of GHS 1,000</a:t>
            </a:r>
          </a:p>
        </c:rich>
      </c:tx>
      <c:layout>
        <c:manualLayout>
          <c:xMode val="edge"/>
          <c:yMode val="edge"/>
          <c:x val="0.37541216930016313"/>
          <c:y val="1.68918918918918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580927384076988E-2"/>
          <c:y val="0.12894801193329097"/>
          <c:w val="0.87764129483814524"/>
          <c:h val="0.5096356433706655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SPY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Tables'!$A$4:$A$16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'Pivot Tables'!$B$4:$B$16</c:f>
              <c:numCache>
                <c:formatCode>General</c:formatCode>
                <c:ptCount val="12"/>
                <c:pt idx="0">
                  <c:v>12432.874124634576</c:v>
                </c:pt>
                <c:pt idx="1">
                  <c:v>13027.814537321725</c:v>
                </c:pt>
                <c:pt idx="2">
                  <c:v>15560.41067136011</c:v>
                </c:pt>
                <c:pt idx="3">
                  <c:v>17600.764358978067</c:v>
                </c:pt>
                <c:pt idx="4">
                  <c:v>19247.488742735186</c:v>
                </c:pt>
                <c:pt idx="5">
                  <c:v>21484.276588758585</c:v>
                </c:pt>
                <c:pt idx="6">
                  <c:v>29012.113881988462</c:v>
                </c:pt>
                <c:pt idx="7">
                  <c:v>28025.379563020273</c:v>
                </c:pt>
                <c:pt idx="8">
                  <c:v>30207.331382405813</c:v>
                </c:pt>
                <c:pt idx="9">
                  <c:v>38683.459421332991</c:v>
                </c:pt>
                <c:pt idx="10">
                  <c:v>45012.544678047292</c:v>
                </c:pt>
                <c:pt idx="11">
                  <c:v>8340.5864796370734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40-453C-9CE7-D53BA6D9B843}"/>
            </c:ext>
          </c:extLst>
        </c:ser>
        <c:ser>
          <c:idx val="1"/>
          <c:order val="1"/>
          <c:tx>
            <c:strRef>
              <c:f>'Pivot Tables'!$C$3</c:f>
              <c:strCache>
                <c:ptCount val="1"/>
                <c:pt idx="0">
                  <c:v>S&amp;P 500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Tables'!$A$4:$A$16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'Pivot Tables'!$C$4:$C$16</c:f>
              <c:numCache>
                <c:formatCode>General</c:formatCode>
                <c:ptCount val="12"/>
                <c:pt idx="0">
                  <c:v>12342.493017481902</c:v>
                </c:pt>
                <c:pt idx="1">
                  <c:v>12666.695221269003</c:v>
                </c:pt>
                <c:pt idx="2">
                  <c:v>14828.345150247589</c:v>
                </c:pt>
                <c:pt idx="3">
                  <c:v>16471.636774689134</c:v>
                </c:pt>
                <c:pt idx="4">
                  <c:v>17672.038562419362</c:v>
                </c:pt>
                <c:pt idx="5">
                  <c:v>19350.197436718616</c:v>
                </c:pt>
                <c:pt idx="6">
                  <c:v>25737.021168383337</c:v>
                </c:pt>
                <c:pt idx="7">
                  <c:v>24527.371238425731</c:v>
                </c:pt>
                <c:pt idx="8">
                  <c:v>26001.057580885896</c:v>
                </c:pt>
                <c:pt idx="9">
                  <c:v>32843.567975882943</c:v>
                </c:pt>
                <c:pt idx="10">
                  <c:v>37752.309710396381</c:v>
                </c:pt>
                <c:pt idx="11">
                  <c:v>6941.658664239364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40-453C-9CE7-D53BA6D9B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704208"/>
        <c:axId val="97702288"/>
      </c:lineChart>
      <c:catAx>
        <c:axId val="9770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2288"/>
        <c:crosses val="autoZero"/>
        <c:auto val="1"/>
        <c:lblAlgn val="ctr"/>
        <c:lblOffset val="100"/>
        <c:noMultiLvlLbl val="0"/>
      </c:catAx>
      <c:valAx>
        <c:axId val="9770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[SPY vs S^0P 500.xlsx]Pivot Tables!PivotTable3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90000"/>
                    <a:lumOff val="10000"/>
                  </a:schemeClr>
                </a:solidFill>
              </a:rPr>
              <a:t>Rolling</a:t>
            </a:r>
            <a:r>
              <a:rPr lang="en-US" baseline="0">
                <a:solidFill>
                  <a:schemeClr val="tx2">
                    <a:lumMod val="90000"/>
                    <a:lumOff val="10000"/>
                  </a:schemeClr>
                </a:solidFill>
              </a:rPr>
              <a:t> 12M returns of SPY and S&amp;P500 Index</a:t>
            </a:r>
            <a:endParaRPr lang="en-US">
              <a:solidFill>
                <a:schemeClr val="tx2">
                  <a:lumMod val="90000"/>
                  <a:lumOff val="1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12700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Tables'!$F$22</c:f>
              <c:strCache>
                <c:ptCount val="1"/>
                <c:pt idx="0">
                  <c:v>SPY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Tables'!$E$23:$E$157</c:f>
              <c:strCache>
                <c:ptCount val="134"/>
                <c:pt idx="0">
                  <c:v>1/1/2015</c:v>
                </c:pt>
                <c:pt idx="1">
                  <c:v>2/1/2015</c:v>
                </c:pt>
                <c:pt idx="2">
                  <c:v>3/1/2015</c:v>
                </c:pt>
                <c:pt idx="3">
                  <c:v>4/1/2015</c:v>
                </c:pt>
                <c:pt idx="4">
                  <c:v>5/1/2015</c:v>
                </c:pt>
                <c:pt idx="5">
                  <c:v>6/1/2015</c:v>
                </c:pt>
                <c:pt idx="6">
                  <c:v>7/1/2015</c:v>
                </c:pt>
                <c:pt idx="7">
                  <c:v>8/1/2015</c:v>
                </c:pt>
                <c:pt idx="8">
                  <c:v>9/1/2015</c:v>
                </c:pt>
                <c:pt idx="9">
                  <c:v>10/1/2015</c:v>
                </c:pt>
                <c:pt idx="10">
                  <c:v>11/1/2015</c:v>
                </c:pt>
                <c:pt idx="11">
                  <c:v>12/1/2015</c:v>
                </c:pt>
                <c:pt idx="12">
                  <c:v>1/1/2016</c:v>
                </c:pt>
                <c:pt idx="13">
                  <c:v>2/1/2016</c:v>
                </c:pt>
                <c:pt idx="14">
                  <c:v>3/1/2016</c:v>
                </c:pt>
                <c:pt idx="15">
                  <c:v>4/1/2016</c:v>
                </c:pt>
                <c:pt idx="16">
                  <c:v>5/1/2016</c:v>
                </c:pt>
                <c:pt idx="17">
                  <c:v>6/1/2016</c:v>
                </c:pt>
                <c:pt idx="18">
                  <c:v>7/1/2016</c:v>
                </c:pt>
                <c:pt idx="19">
                  <c:v>8/1/2016</c:v>
                </c:pt>
                <c:pt idx="20">
                  <c:v>9/1/2016</c:v>
                </c:pt>
                <c:pt idx="21">
                  <c:v>10/1/2016</c:v>
                </c:pt>
                <c:pt idx="22">
                  <c:v>11/1/2016</c:v>
                </c:pt>
                <c:pt idx="23">
                  <c:v>12/1/2016</c:v>
                </c:pt>
                <c:pt idx="24">
                  <c:v>1/1/2017</c:v>
                </c:pt>
                <c:pt idx="25">
                  <c:v>2/1/2017</c:v>
                </c:pt>
                <c:pt idx="26">
                  <c:v>3/1/2017</c:v>
                </c:pt>
                <c:pt idx="27">
                  <c:v>4/1/2017</c:v>
                </c:pt>
                <c:pt idx="28">
                  <c:v>5/1/2017</c:v>
                </c:pt>
                <c:pt idx="29">
                  <c:v>6/1/2017</c:v>
                </c:pt>
                <c:pt idx="30">
                  <c:v>7/1/2017</c:v>
                </c:pt>
                <c:pt idx="31">
                  <c:v>8/1/2017</c:v>
                </c:pt>
                <c:pt idx="32">
                  <c:v>9/1/2017</c:v>
                </c:pt>
                <c:pt idx="33">
                  <c:v>10/1/2017</c:v>
                </c:pt>
                <c:pt idx="34">
                  <c:v>11/1/2017</c:v>
                </c:pt>
                <c:pt idx="35">
                  <c:v>12/1/2017</c:v>
                </c:pt>
                <c:pt idx="36">
                  <c:v>1/1/2018</c:v>
                </c:pt>
                <c:pt idx="37">
                  <c:v>2/1/2018</c:v>
                </c:pt>
                <c:pt idx="38">
                  <c:v>3/1/2018</c:v>
                </c:pt>
                <c:pt idx="39">
                  <c:v>4/1/2018</c:v>
                </c:pt>
                <c:pt idx="40">
                  <c:v>5/1/2018</c:v>
                </c:pt>
                <c:pt idx="41">
                  <c:v>6/1/2018</c:v>
                </c:pt>
                <c:pt idx="42">
                  <c:v>7/1/2018</c:v>
                </c:pt>
                <c:pt idx="43">
                  <c:v>8/1/2018</c:v>
                </c:pt>
                <c:pt idx="44">
                  <c:v>9/1/2018</c:v>
                </c:pt>
                <c:pt idx="45">
                  <c:v>10/1/2018</c:v>
                </c:pt>
                <c:pt idx="46">
                  <c:v>11/1/2018</c:v>
                </c:pt>
                <c:pt idx="47">
                  <c:v>12/1/2018</c:v>
                </c:pt>
                <c:pt idx="48">
                  <c:v>1/1/2019</c:v>
                </c:pt>
                <c:pt idx="49">
                  <c:v>2/1/2019</c:v>
                </c:pt>
                <c:pt idx="50">
                  <c:v>3/1/2019</c:v>
                </c:pt>
                <c:pt idx="51">
                  <c:v>4/1/2019</c:v>
                </c:pt>
                <c:pt idx="52">
                  <c:v>5/1/2019</c:v>
                </c:pt>
                <c:pt idx="53">
                  <c:v>6/1/2019</c:v>
                </c:pt>
                <c:pt idx="54">
                  <c:v>7/1/2019</c:v>
                </c:pt>
                <c:pt idx="55">
                  <c:v>8/1/2019</c:v>
                </c:pt>
                <c:pt idx="56">
                  <c:v>9/1/2019</c:v>
                </c:pt>
                <c:pt idx="57">
                  <c:v>10/1/2019</c:v>
                </c:pt>
                <c:pt idx="58">
                  <c:v>11/1/2019</c:v>
                </c:pt>
                <c:pt idx="59">
                  <c:v>12/1/2019</c:v>
                </c:pt>
                <c:pt idx="60">
                  <c:v>1/1/2020</c:v>
                </c:pt>
                <c:pt idx="61">
                  <c:v>2/1/2020</c:v>
                </c:pt>
                <c:pt idx="62">
                  <c:v>3/1/2020</c:v>
                </c:pt>
                <c:pt idx="63">
                  <c:v>4/1/2020</c:v>
                </c:pt>
                <c:pt idx="64">
                  <c:v>5/1/2020</c:v>
                </c:pt>
                <c:pt idx="65">
                  <c:v>6/1/2020</c:v>
                </c:pt>
                <c:pt idx="66">
                  <c:v>7/1/2020</c:v>
                </c:pt>
                <c:pt idx="67">
                  <c:v>8/1/2020</c:v>
                </c:pt>
                <c:pt idx="68">
                  <c:v>9/1/2020</c:v>
                </c:pt>
                <c:pt idx="69">
                  <c:v>10/1/2020</c:v>
                </c:pt>
                <c:pt idx="70">
                  <c:v>11/1/2020</c:v>
                </c:pt>
                <c:pt idx="71">
                  <c:v>12/1/2020</c:v>
                </c:pt>
                <c:pt idx="72">
                  <c:v>1/1/2021</c:v>
                </c:pt>
                <c:pt idx="73">
                  <c:v>2/1/2021</c:v>
                </c:pt>
                <c:pt idx="74">
                  <c:v>3/1/2021</c:v>
                </c:pt>
                <c:pt idx="75">
                  <c:v>4/1/2021</c:v>
                </c:pt>
                <c:pt idx="76">
                  <c:v>5/1/2021</c:v>
                </c:pt>
                <c:pt idx="77">
                  <c:v>6/1/2021</c:v>
                </c:pt>
                <c:pt idx="78">
                  <c:v>7/1/2021</c:v>
                </c:pt>
                <c:pt idx="79">
                  <c:v>8/1/2021</c:v>
                </c:pt>
                <c:pt idx="80">
                  <c:v>9/1/2021</c:v>
                </c:pt>
                <c:pt idx="81">
                  <c:v>10/1/2021</c:v>
                </c:pt>
                <c:pt idx="82">
                  <c:v>11/1/2021</c:v>
                </c:pt>
                <c:pt idx="83">
                  <c:v>12/1/2021</c:v>
                </c:pt>
                <c:pt idx="84">
                  <c:v>1/1/2022</c:v>
                </c:pt>
                <c:pt idx="85">
                  <c:v>2/1/2022</c:v>
                </c:pt>
                <c:pt idx="86">
                  <c:v>3/1/2022</c:v>
                </c:pt>
                <c:pt idx="87">
                  <c:v>4/1/2022</c:v>
                </c:pt>
                <c:pt idx="88">
                  <c:v>5/1/2022</c:v>
                </c:pt>
                <c:pt idx="89">
                  <c:v>6/1/2022</c:v>
                </c:pt>
                <c:pt idx="90">
                  <c:v>7/1/2022</c:v>
                </c:pt>
                <c:pt idx="91">
                  <c:v>8/1/2022</c:v>
                </c:pt>
                <c:pt idx="92">
                  <c:v>9/1/2022</c:v>
                </c:pt>
                <c:pt idx="93">
                  <c:v>10/1/2022</c:v>
                </c:pt>
                <c:pt idx="94">
                  <c:v>11/1/2022</c:v>
                </c:pt>
                <c:pt idx="95">
                  <c:v>12/1/2022</c:v>
                </c:pt>
                <c:pt idx="96">
                  <c:v>1/1/2023</c:v>
                </c:pt>
                <c:pt idx="97">
                  <c:v>2/1/2023</c:v>
                </c:pt>
                <c:pt idx="98">
                  <c:v>3/1/2023</c:v>
                </c:pt>
                <c:pt idx="99">
                  <c:v>4/1/2023</c:v>
                </c:pt>
                <c:pt idx="100">
                  <c:v>5/1/2023</c:v>
                </c:pt>
                <c:pt idx="101">
                  <c:v>6/1/2023</c:v>
                </c:pt>
                <c:pt idx="102">
                  <c:v>7/1/2023</c:v>
                </c:pt>
                <c:pt idx="103">
                  <c:v>8/1/2023</c:v>
                </c:pt>
                <c:pt idx="104">
                  <c:v>9/1/2023</c:v>
                </c:pt>
                <c:pt idx="105">
                  <c:v>10/1/2023</c:v>
                </c:pt>
                <c:pt idx="106">
                  <c:v>11/1/2023</c:v>
                </c:pt>
                <c:pt idx="107">
                  <c:v>12/1/2023</c:v>
                </c:pt>
                <c:pt idx="108">
                  <c:v>1/1/2024</c:v>
                </c:pt>
                <c:pt idx="109">
                  <c:v>2/1/2024</c:v>
                </c:pt>
                <c:pt idx="110">
                  <c:v>3/1/2024</c:v>
                </c:pt>
                <c:pt idx="111">
                  <c:v>4/1/2024</c:v>
                </c:pt>
                <c:pt idx="112">
                  <c:v>5/1/2024</c:v>
                </c:pt>
                <c:pt idx="113">
                  <c:v>6/1/2024</c:v>
                </c:pt>
                <c:pt idx="114">
                  <c:v>7/1/2024</c:v>
                </c:pt>
                <c:pt idx="115">
                  <c:v>8/1/2024</c:v>
                </c:pt>
                <c:pt idx="116">
                  <c:v>9/1/2024</c:v>
                </c:pt>
                <c:pt idx="117">
                  <c:v>10/1/2024</c:v>
                </c:pt>
                <c:pt idx="118">
                  <c:v>11/1/2024</c:v>
                </c:pt>
                <c:pt idx="119">
                  <c:v>12/1/2024</c:v>
                </c:pt>
                <c:pt idx="120">
                  <c:v>1/1/2025</c:v>
                </c:pt>
                <c:pt idx="121">
                  <c:v>2/1/2025</c:v>
                </c:pt>
                <c:pt idx="122">
                  <c:v>3/1/2025</c:v>
                </c:pt>
                <c:pt idx="123">
                  <c:v>4/1/2025</c:v>
                </c:pt>
                <c:pt idx="124">
                  <c:v>5/1/2025</c:v>
                </c:pt>
                <c:pt idx="125">
                  <c:v>6/1/2025</c:v>
                </c:pt>
                <c:pt idx="126">
                  <c:v>7/1/2025</c:v>
                </c:pt>
                <c:pt idx="127">
                  <c:v>8/1/2025</c:v>
                </c:pt>
                <c:pt idx="128">
                  <c:v>9/1/2025</c:v>
                </c:pt>
                <c:pt idx="129">
                  <c:v>10/1/2025</c:v>
                </c:pt>
                <c:pt idx="130">
                  <c:v>11/1/2025</c:v>
                </c:pt>
                <c:pt idx="131">
                  <c:v>12/1/2025</c:v>
                </c:pt>
                <c:pt idx="132">
                  <c:v>1/1/2026</c:v>
                </c:pt>
                <c:pt idx="133">
                  <c:v>2/1/2026</c:v>
                </c:pt>
              </c:strCache>
            </c:strRef>
          </c:cat>
          <c:val>
            <c:numRef>
              <c:f>'Pivot Tables'!$F$23:$F$157</c:f>
              <c:numCache>
                <c:formatCode>0.00%</c:formatCode>
                <c:ptCount val="134"/>
                <c:pt idx="12">
                  <c:v>-8.6864921297719177E-3</c:v>
                </c:pt>
                <c:pt idx="13">
                  <c:v>-6.2212860667064294E-2</c:v>
                </c:pt>
                <c:pt idx="14">
                  <c:v>1.6136470675783249E-2</c:v>
                </c:pt>
                <c:pt idx="15">
                  <c:v>1.0904762807389834E-2</c:v>
                </c:pt>
                <c:pt idx="16">
                  <c:v>1.5051987567274883E-2</c:v>
                </c:pt>
                <c:pt idx="17">
                  <c:v>3.9351002872841628E-2</c:v>
                </c:pt>
                <c:pt idx="18">
                  <c:v>5.3813260511181307E-2</c:v>
                </c:pt>
                <c:pt idx="19">
                  <c:v>0.12355594187490197</c:v>
                </c:pt>
                <c:pt idx="20">
                  <c:v>0.15321087068271239</c:v>
                </c:pt>
                <c:pt idx="21">
                  <c:v>4.42298849933975E-2</c:v>
                </c:pt>
                <c:pt idx="22">
                  <c:v>7.875416375255713E-2</c:v>
                </c:pt>
                <c:pt idx="23">
                  <c:v>0.12004240628482886</c:v>
                </c:pt>
                <c:pt idx="24">
                  <c:v>0.19975208265993075</c:v>
                </c:pt>
                <c:pt idx="25">
                  <c:v>0.24792315240695176</c:v>
                </c:pt>
                <c:pt idx="26">
                  <c:v>0.17167316706231436</c:v>
                </c:pt>
                <c:pt idx="27">
                  <c:v>0.17771175094463271</c:v>
                </c:pt>
                <c:pt idx="28">
                  <c:v>0.17435488379735437</c:v>
                </c:pt>
                <c:pt idx="29">
                  <c:v>0.17812708815626621</c:v>
                </c:pt>
                <c:pt idx="30">
                  <c:v>0.15966088833881426</c:v>
                </c:pt>
                <c:pt idx="31">
                  <c:v>0.16165370299344972</c:v>
                </c:pt>
                <c:pt idx="32">
                  <c:v>0.18509573363328163</c:v>
                </c:pt>
                <c:pt idx="33">
                  <c:v>0.23431410460232968</c:v>
                </c:pt>
                <c:pt idx="34">
                  <c:v>0.22684715907079703</c:v>
                </c:pt>
                <c:pt idx="35">
                  <c:v>0.21800152885624943</c:v>
                </c:pt>
                <c:pt idx="36">
                  <c:v>0.26304474158243724</c:v>
                </c:pt>
                <c:pt idx="37">
                  <c:v>0.17110478512118793</c:v>
                </c:pt>
                <c:pt idx="38">
                  <c:v>0.13797429523789087</c:v>
                </c:pt>
                <c:pt idx="39">
                  <c:v>0.13222333769695255</c:v>
                </c:pt>
                <c:pt idx="40">
                  <c:v>0.14360688881614014</c:v>
                </c:pt>
                <c:pt idx="41">
                  <c:v>0.1433370659068848</c:v>
                </c:pt>
                <c:pt idx="42">
                  <c:v>0.16136759090258981</c:v>
                </c:pt>
                <c:pt idx="43">
                  <c:v>0.19495115410881156</c:v>
                </c:pt>
                <c:pt idx="44">
                  <c:v>0.1788251944442705</c:v>
                </c:pt>
                <c:pt idx="45">
                  <c:v>7.1634903236531836E-2</c:v>
                </c:pt>
                <c:pt idx="46">
                  <c:v>5.9139423943869902E-2</c:v>
                </c:pt>
                <c:pt idx="47">
                  <c:v>-4.6380841934407023E-2</c:v>
                </c:pt>
                <c:pt idx="48">
                  <c:v>-2.42741513985603E-2</c:v>
                </c:pt>
                <c:pt idx="49">
                  <c:v>4.5365480639157386E-2</c:v>
                </c:pt>
                <c:pt idx="50">
                  <c:v>9.3846380360746176E-2</c:v>
                </c:pt>
                <c:pt idx="51">
                  <c:v>0.13312935201503434</c:v>
                </c:pt>
                <c:pt idx="52">
                  <c:v>3.5691727584814585E-2</c:v>
                </c:pt>
                <c:pt idx="53">
                  <c:v>0.10101877686472932</c:v>
                </c:pt>
                <c:pt idx="54">
                  <c:v>7.8138907668997365E-2</c:v>
                </c:pt>
                <c:pt idx="55">
                  <c:v>2.7296574225430609E-2</c:v>
                </c:pt>
                <c:pt idx="56">
                  <c:v>4.1001210843506351E-2</c:v>
                </c:pt>
                <c:pt idx="57">
                  <c:v>0.14310181448606124</c:v>
                </c:pt>
                <c:pt idx="58">
                  <c:v>0.16290948673615466</c:v>
                </c:pt>
                <c:pt idx="59">
                  <c:v>0.31344434239592489</c:v>
                </c:pt>
                <c:pt idx="60">
                  <c:v>0.21447183599006581</c:v>
                </c:pt>
                <c:pt idx="61">
                  <c:v>8.321357214824758E-2</c:v>
                </c:pt>
                <c:pt idx="62">
                  <c:v>-7.0268044021092171E-2</c:v>
                </c:pt>
                <c:pt idx="63">
                  <c:v>8.1466212572602059E-3</c:v>
                </c:pt>
                <c:pt idx="64">
                  <c:v>0.12812216064703882</c:v>
                </c:pt>
                <c:pt idx="65">
                  <c:v>7.3926986008855292E-2</c:v>
                </c:pt>
                <c:pt idx="66">
                  <c:v>0.11971945059847969</c:v>
                </c:pt>
                <c:pt idx="67">
                  <c:v>0.21827006867945525</c:v>
                </c:pt>
                <c:pt idx="68">
                  <c:v>0.15097614998565198</c:v>
                </c:pt>
                <c:pt idx="69">
                  <c:v>9.7334980352281789E-2</c:v>
                </c:pt>
                <c:pt idx="70">
                  <c:v>0.17419542855694775</c:v>
                </c:pt>
                <c:pt idx="71">
                  <c:v>0.18408633992680926</c:v>
                </c:pt>
                <c:pt idx="72">
                  <c:v>0.1717307495634901</c:v>
                </c:pt>
                <c:pt idx="73">
                  <c:v>0.30784827378130031</c:v>
                </c:pt>
                <c:pt idx="74">
                  <c:v>0.5663681248132566</c:v>
                </c:pt>
                <c:pt idx="75">
                  <c:v>0.45962574058427469</c:v>
                </c:pt>
                <c:pt idx="76">
                  <c:v>0.40239196960030776</c:v>
                </c:pt>
                <c:pt idx="77">
                  <c:v>0.41044460022463697</c:v>
                </c:pt>
                <c:pt idx="78">
                  <c:v>0.36298397764415391</c:v>
                </c:pt>
                <c:pt idx="79">
                  <c:v>0.31197447271749962</c:v>
                </c:pt>
                <c:pt idx="80">
                  <c:v>0.30052193420987072</c:v>
                </c:pt>
                <c:pt idx="81">
                  <c:v>0.42622456504004003</c:v>
                </c:pt>
                <c:pt idx="82">
                  <c:v>0.27596904061096122</c:v>
                </c:pt>
                <c:pt idx="83">
                  <c:v>0.28824926423162422</c:v>
                </c:pt>
                <c:pt idx="84">
                  <c:v>0.23194868653552467</c:v>
                </c:pt>
                <c:pt idx="85">
                  <c:v>0.16324055218135081</c:v>
                </c:pt>
                <c:pt idx="86">
                  <c:v>0.15474539148877622</c:v>
                </c:pt>
                <c:pt idx="87">
                  <c:v>2.9181084441547969E-4</c:v>
                </c:pt>
                <c:pt idx="88">
                  <c:v>-3.989968602037792E-3</c:v>
                </c:pt>
                <c:pt idx="89">
                  <c:v>-0.10710064090384236</c:v>
                </c:pt>
                <c:pt idx="90">
                  <c:v>-4.7119545935648412E-2</c:v>
                </c:pt>
                <c:pt idx="91">
                  <c:v>-0.11241338356531495</c:v>
                </c:pt>
                <c:pt idx="92">
                  <c:v>-0.15585018507984288</c:v>
                </c:pt>
                <c:pt idx="93">
                  <c:v>-0.14631653503373662</c:v>
                </c:pt>
                <c:pt idx="94">
                  <c:v>-9.1559685200487018E-2</c:v>
                </c:pt>
                <c:pt idx="95">
                  <c:v>-0.18263232700536411</c:v>
                </c:pt>
                <c:pt idx="96">
                  <c:v>-8.1873319736936179E-2</c:v>
                </c:pt>
                <c:pt idx="97">
                  <c:v>-7.7734638664049505E-2</c:v>
                </c:pt>
                <c:pt idx="98">
                  <c:v>-7.8842370192177394E-2</c:v>
                </c:pt>
                <c:pt idx="99">
                  <c:v>2.6642980963745608E-2</c:v>
                </c:pt>
                <c:pt idx="100">
                  <c:v>2.9059198630411728E-2</c:v>
                </c:pt>
                <c:pt idx="101">
                  <c:v>0.19493763004574932</c:v>
                </c:pt>
                <c:pt idx="102">
                  <c:v>0.12931293203941452</c:v>
                </c:pt>
                <c:pt idx="103">
                  <c:v>0.15821676402014476</c:v>
                </c:pt>
                <c:pt idx="104">
                  <c:v>0.21636336217276761</c:v>
                </c:pt>
                <c:pt idx="105">
                  <c:v>9.98767664093788E-2</c:v>
                </c:pt>
                <c:pt idx="106">
                  <c:v>0.13712898125671316</c:v>
                </c:pt>
                <c:pt idx="107">
                  <c:v>0.26243336461790284</c:v>
                </c:pt>
                <c:pt idx="108">
                  <c:v>0.2060105245333973</c:v>
                </c:pt>
                <c:pt idx="109">
                  <c:v>0.30167569388612686</c:v>
                </c:pt>
                <c:pt idx="110">
                  <c:v>0.29710048723291543</c:v>
                </c:pt>
                <c:pt idx="111">
                  <c:v>0.22436282598933019</c:v>
                </c:pt>
                <c:pt idx="112">
                  <c:v>0.28038009131558828</c:v>
                </c:pt>
                <c:pt idx="113">
                  <c:v>0.24549009949449388</c:v>
                </c:pt>
                <c:pt idx="114">
                  <c:v>0.22002294506866865</c:v>
                </c:pt>
                <c:pt idx="115">
                  <c:v>0.2691562303590046</c:v>
                </c:pt>
                <c:pt idx="116">
                  <c:v>0.36096504657513184</c:v>
                </c:pt>
                <c:pt idx="117">
                  <c:v>0.37811933538769438</c:v>
                </c:pt>
                <c:pt idx="118">
                  <c:v>0.33807626659805329</c:v>
                </c:pt>
                <c:pt idx="119">
                  <c:v>0.24972180643197403</c:v>
                </c:pt>
                <c:pt idx="120">
                  <c:v>0.26230056227182097</c:v>
                </c:pt>
                <c:pt idx="121">
                  <c:v>0.18446254994500871</c:v>
                </c:pt>
                <c:pt idx="122">
                  <c:v>8.3154171106488095E-2</c:v>
                </c:pt>
                <c:pt idx="123">
                  <c:v>0.11876544496433378</c:v>
                </c:pt>
                <c:pt idx="124">
                  <c:v>0.13182694149332363</c:v>
                </c:pt>
                <c:pt idx="125">
                  <c:v>0.14974404895635834</c:v>
                </c:pt>
                <c:pt idx="126">
                  <c:v>0.16183927551897745</c:v>
                </c:pt>
                <c:pt idx="127">
                  <c:v>0.15860796749441161</c:v>
                </c:pt>
                <c:pt idx="128">
                  <c:v>0.17553913662316167</c:v>
                </c:pt>
                <c:pt idx="129">
                  <c:v>0.21404066041853761</c:v>
                </c:pt>
                <c:pt idx="130">
                  <c:v>0.1479516834374239</c:v>
                </c:pt>
                <c:pt idx="131">
                  <c:v>0.17767279889248863</c:v>
                </c:pt>
                <c:pt idx="132">
                  <c:v>0.16329788958740263</c:v>
                </c:pt>
                <c:pt idx="133">
                  <c:v>0.17393057115051966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26-4926-8DB9-F77178630FF5}"/>
            </c:ext>
          </c:extLst>
        </c:ser>
        <c:ser>
          <c:idx val="1"/>
          <c:order val="1"/>
          <c:tx>
            <c:strRef>
              <c:f>'Pivot Tables'!$G$22</c:f>
              <c:strCache>
                <c:ptCount val="1"/>
                <c:pt idx="0">
                  <c:v>S&amp;P500</c:v>
                </c:pt>
              </c:strCache>
            </c:strRef>
          </c:tx>
          <c:spPr>
            <a:ln w="1270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Tables'!$E$23:$E$157</c:f>
              <c:strCache>
                <c:ptCount val="134"/>
                <c:pt idx="0">
                  <c:v>1/1/2015</c:v>
                </c:pt>
                <c:pt idx="1">
                  <c:v>2/1/2015</c:v>
                </c:pt>
                <c:pt idx="2">
                  <c:v>3/1/2015</c:v>
                </c:pt>
                <c:pt idx="3">
                  <c:v>4/1/2015</c:v>
                </c:pt>
                <c:pt idx="4">
                  <c:v>5/1/2015</c:v>
                </c:pt>
                <c:pt idx="5">
                  <c:v>6/1/2015</c:v>
                </c:pt>
                <c:pt idx="6">
                  <c:v>7/1/2015</c:v>
                </c:pt>
                <c:pt idx="7">
                  <c:v>8/1/2015</c:v>
                </c:pt>
                <c:pt idx="8">
                  <c:v>9/1/2015</c:v>
                </c:pt>
                <c:pt idx="9">
                  <c:v>10/1/2015</c:v>
                </c:pt>
                <c:pt idx="10">
                  <c:v>11/1/2015</c:v>
                </c:pt>
                <c:pt idx="11">
                  <c:v>12/1/2015</c:v>
                </c:pt>
                <c:pt idx="12">
                  <c:v>1/1/2016</c:v>
                </c:pt>
                <c:pt idx="13">
                  <c:v>2/1/2016</c:v>
                </c:pt>
                <c:pt idx="14">
                  <c:v>3/1/2016</c:v>
                </c:pt>
                <c:pt idx="15">
                  <c:v>4/1/2016</c:v>
                </c:pt>
                <c:pt idx="16">
                  <c:v>5/1/2016</c:v>
                </c:pt>
                <c:pt idx="17">
                  <c:v>6/1/2016</c:v>
                </c:pt>
                <c:pt idx="18">
                  <c:v>7/1/2016</c:v>
                </c:pt>
                <c:pt idx="19">
                  <c:v>8/1/2016</c:v>
                </c:pt>
                <c:pt idx="20">
                  <c:v>9/1/2016</c:v>
                </c:pt>
                <c:pt idx="21">
                  <c:v>10/1/2016</c:v>
                </c:pt>
                <c:pt idx="22">
                  <c:v>11/1/2016</c:v>
                </c:pt>
                <c:pt idx="23">
                  <c:v>12/1/2016</c:v>
                </c:pt>
                <c:pt idx="24">
                  <c:v>1/1/2017</c:v>
                </c:pt>
                <c:pt idx="25">
                  <c:v>2/1/2017</c:v>
                </c:pt>
                <c:pt idx="26">
                  <c:v>3/1/2017</c:v>
                </c:pt>
                <c:pt idx="27">
                  <c:v>4/1/2017</c:v>
                </c:pt>
                <c:pt idx="28">
                  <c:v>5/1/2017</c:v>
                </c:pt>
                <c:pt idx="29">
                  <c:v>6/1/2017</c:v>
                </c:pt>
                <c:pt idx="30">
                  <c:v>7/1/2017</c:v>
                </c:pt>
                <c:pt idx="31">
                  <c:v>8/1/2017</c:v>
                </c:pt>
                <c:pt idx="32">
                  <c:v>9/1/2017</c:v>
                </c:pt>
                <c:pt idx="33">
                  <c:v>10/1/2017</c:v>
                </c:pt>
                <c:pt idx="34">
                  <c:v>11/1/2017</c:v>
                </c:pt>
                <c:pt idx="35">
                  <c:v>12/1/2017</c:v>
                </c:pt>
                <c:pt idx="36">
                  <c:v>1/1/2018</c:v>
                </c:pt>
                <c:pt idx="37">
                  <c:v>2/1/2018</c:v>
                </c:pt>
                <c:pt idx="38">
                  <c:v>3/1/2018</c:v>
                </c:pt>
                <c:pt idx="39">
                  <c:v>4/1/2018</c:v>
                </c:pt>
                <c:pt idx="40">
                  <c:v>5/1/2018</c:v>
                </c:pt>
                <c:pt idx="41">
                  <c:v>6/1/2018</c:v>
                </c:pt>
                <c:pt idx="42">
                  <c:v>7/1/2018</c:v>
                </c:pt>
                <c:pt idx="43">
                  <c:v>8/1/2018</c:v>
                </c:pt>
                <c:pt idx="44">
                  <c:v>9/1/2018</c:v>
                </c:pt>
                <c:pt idx="45">
                  <c:v>10/1/2018</c:v>
                </c:pt>
                <c:pt idx="46">
                  <c:v>11/1/2018</c:v>
                </c:pt>
                <c:pt idx="47">
                  <c:v>12/1/2018</c:v>
                </c:pt>
                <c:pt idx="48">
                  <c:v>1/1/2019</c:v>
                </c:pt>
                <c:pt idx="49">
                  <c:v>2/1/2019</c:v>
                </c:pt>
                <c:pt idx="50">
                  <c:v>3/1/2019</c:v>
                </c:pt>
                <c:pt idx="51">
                  <c:v>4/1/2019</c:v>
                </c:pt>
                <c:pt idx="52">
                  <c:v>5/1/2019</c:v>
                </c:pt>
                <c:pt idx="53">
                  <c:v>6/1/2019</c:v>
                </c:pt>
                <c:pt idx="54">
                  <c:v>7/1/2019</c:v>
                </c:pt>
                <c:pt idx="55">
                  <c:v>8/1/2019</c:v>
                </c:pt>
                <c:pt idx="56">
                  <c:v>9/1/2019</c:v>
                </c:pt>
                <c:pt idx="57">
                  <c:v>10/1/2019</c:v>
                </c:pt>
                <c:pt idx="58">
                  <c:v>11/1/2019</c:v>
                </c:pt>
                <c:pt idx="59">
                  <c:v>12/1/2019</c:v>
                </c:pt>
                <c:pt idx="60">
                  <c:v>1/1/2020</c:v>
                </c:pt>
                <c:pt idx="61">
                  <c:v>2/1/2020</c:v>
                </c:pt>
                <c:pt idx="62">
                  <c:v>3/1/2020</c:v>
                </c:pt>
                <c:pt idx="63">
                  <c:v>4/1/2020</c:v>
                </c:pt>
                <c:pt idx="64">
                  <c:v>5/1/2020</c:v>
                </c:pt>
                <c:pt idx="65">
                  <c:v>6/1/2020</c:v>
                </c:pt>
                <c:pt idx="66">
                  <c:v>7/1/2020</c:v>
                </c:pt>
                <c:pt idx="67">
                  <c:v>8/1/2020</c:v>
                </c:pt>
                <c:pt idx="68">
                  <c:v>9/1/2020</c:v>
                </c:pt>
                <c:pt idx="69">
                  <c:v>10/1/2020</c:v>
                </c:pt>
                <c:pt idx="70">
                  <c:v>11/1/2020</c:v>
                </c:pt>
                <c:pt idx="71">
                  <c:v>12/1/2020</c:v>
                </c:pt>
                <c:pt idx="72">
                  <c:v>1/1/2021</c:v>
                </c:pt>
                <c:pt idx="73">
                  <c:v>2/1/2021</c:v>
                </c:pt>
                <c:pt idx="74">
                  <c:v>3/1/2021</c:v>
                </c:pt>
                <c:pt idx="75">
                  <c:v>4/1/2021</c:v>
                </c:pt>
                <c:pt idx="76">
                  <c:v>5/1/2021</c:v>
                </c:pt>
                <c:pt idx="77">
                  <c:v>6/1/2021</c:v>
                </c:pt>
                <c:pt idx="78">
                  <c:v>7/1/2021</c:v>
                </c:pt>
                <c:pt idx="79">
                  <c:v>8/1/2021</c:v>
                </c:pt>
                <c:pt idx="80">
                  <c:v>9/1/2021</c:v>
                </c:pt>
                <c:pt idx="81">
                  <c:v>10/1/2021</c:v>
                </c:pt>
                <c:pt idx="82">
                  <c:v>11/1/2021</c:v>
                </c:pt>
                <c:pt idx="83">
                  <c:v>12/1/2021</c:v>
                </c:pt>
                <c:pt idx="84">
                  <c:v>1/1/2022</c:v>
                </c:pt>
                <c:pt idx="85">
                  <c:v>2/1/2022</c:v>
                </c:pt>
                <c:pt idx="86">
                  <c:v>3/1/2022</c:v>
                </c:pt>
                <c:pt idx="87">
                  <c:v>4/1/2022</c:v>
                </c:pt>
                <c:pt idx="88">
                  <c:v>5/1/2022</c:v>
                </c:pt>
                <c:pt idx="89">
                  <c:v>6/1/2022</c:v>
                </c:pt>
                <c:pt idx="90">
                  <c:v>7/1/2022</c:v>
                </c:pt>
                <c:pt idx="91">
                  <c:v>8/1/2022</c:v>
                </c:pt>
                <c:pt idx="92">
                  <c:v>9/1/2022</c:v>
                </c:pt>
                <c:pt idx="93">
                  <c:v>10/1/2022</c:v>
                </c:pt>
                <c:pt idx="94">
                  <c:v>11/1/2022</c:v>
                </c:pt>
                <c:pt idx="95">
                  <c:v>12/1/2022</c:v>
                </c:pt>
                <c:pt idx="96">
                  <c:v>1/1/2023</c:v>
                </c:pt>
                <c:pt idx="97">
                  <c:v>2/1/2023</c:v>
                </c:pt>
                <c:pt idx="98">
                  <c:v>3/1/2023</c:v>
                </c:pt>
                <c:pt idx="99">
                  <c:v>4/1/2023</c:v>
                </c:pt>
                <c:pt idx="100">
                  <c:v>5/1/2023</c:v>
                </c:pt>
                <c:pt idx="101">
                  <c:v>6/1/2023</c:v>
                </c:pt>
                <c:pt idx="102">
                  <c:v>7/1/2023</c:v>
                </c:pt>
                <c:pt idx="103">
                  <c:v>8/1/2023</c:v>
                </c:pt>
                <c:pt idx="104">
                  <c:v>9/1/2023</c:v>
                </c:pt>
                <c:pt idx="105">
                  <c:v>10/1/2023</c:v>
                </c:pt>
                <c:pt idx="106">
                  <c:v>11/1/2023</c:v>
                </c:pt>
                <c:pt idx="107">
                  <c:v>12/1/2023</c:v>
                </c:pt>
                <c:pt idx="108">
                  <c:v>1/1/2024</c:v>
                </c:pt>
                <c:pt idx="109">
                  <c:v>2/1/2024</c:v>
                </c:pt>
                <c:pt idx="110">
                  <c:v>3/1/2024</c:v>
                </c:pt>
                <c:pt idx="111">
                  <c:v>4/1/2024</c:v>
                </c:pt>
                <c:pt idx="112">
                  <c:v>5/1/2024</c:v>
                </c:pt>
                <c:pt idx="113">
                  <c:v>6/1/2024</c:v>
                </c:pt>
                <c:pt idx="114">
                  <c:v>7/1/2024</c:v>
                </c:pt>
                <c:pt idx="115">
                  <c:v>8/1/2024</c:v>
                </c:pt>
                <c:pt idx="116">
                  <c:v>9/1/2024</c:v>
                </c:pt>
                <c:pt idx="117">
                  <c:v>10/1/2024</c:v>
                </c:pt>
                <c:pt idx="118">
                  <c:v>11/1/2024</c:v>
                </c:pt>
                <c:pt idx="119">
                  <c:v>12/1/2024</c:v>
                </c:pt>
                <c:pt idx="120">
                  <c:v>1/1/2025</c:v>
                </c:pt>
                <c:pt idx="121">
                  <c:v>2/1/2025</c:v>
                </c:pt>
                <c:pt idx="122">
                  <c:v>3/1/2025</c:v>
                </c:pt>
                <c:pt idx="123">
                  <c:v>4/1/2025</c:v>
                </c:pt>
                <c:pt idx="124">
                  <c:v>5/1/2025</c:v>
                </c:pt>
                <c:pt idx="125">
                  <c:v>6/1/2025</c:v>
                </c:pt>
                <c:pt idx="126">
                  <c:v>7/1/2025</c:v>
                </c:pt>
                <c:pt idx="127">
                  <c:v>8/1/2025</c:v>
                </c:pt>
                <c:pt idx="128">
                  <c:v>9/1/2025</c:v>
                </c:pt>
                <c:pt idx="129">
                  <c:v>10/1/2025</c:v>
                </c:pt>
                <c:pt idx="130">
                  <c:v>11/1/2025</c:v>
                </c:pt>
                <c:pt idx="131">
                  <c:v>12/1/2025</c:v>
                </c:pt>
                <c:pt idx="132">
                  <c:v>1/1/2026</c:v>
                </c:pt>
                <c:pt idx="133">
                  <c:v>2/1/2026</c:v>
                </c:pt>
              </c:strCache>
            </c:strRef>
          </c:cat>
          <c:val>
            <c:numRef>
              <c:f>'Pivot Tables'!$G$23:$G$157</c:f>
              <c:numCache>
                <c:formatCode>0.00%</c:formatCode>
                <c:ptCount val="134"/>
                <c:pt idx="12">
                  <c:v>-2.7443746719535107E-2</c:v>
                </c:pt>
                <c:pt idx="13">
                  <c:v>-8.1857932777975762E-2</c:v>
                </c:pt>
                <c:pt idx="14">
                  <c:v>-3.9411684214913281E-3</c:v>
                </c:pt>
                <c:pt idx="15">
                  <c:v>-9.6906564067612642E-3</c:v>
                </c:pt>
                <c:pt idx="16">
                  <c:v>-4.9539676749033148E-3</c:v>
                </c:pt>
                <c:pt idx="17">
                  <c:v>1.7328207482185373E-2</c:v>
                </c:pt>
                <c:pt idx="18">
                  <c:v>3.3158418345174009E-2</c:v>
                </c:pt>
                <c:pt idx="19">
                  <c:v>0.10078689168715764</c:v>
                </c:pt>
                <c:pt idx="20">
                  <c:v>0.1292896394569838</c:v>
                </c:pt>
                <c:pt idx="21">
                  <c:v>2.2502016247627262E-2</c:v>
                </c:pt>
                <c:pt idx="22">
                  <c:v>5.6911931535803151E-2</c:v>
                </c:pt>
                <c:pt idx="23">
                  <c:v>9.5350226672836449E-2</c:v>
                </c:pt>
                <c:pt idx="24">
                  <c:v>0.17453002136721216</c:v>
                </c:pt>
                <c:pt idx="25">
                  <c:v>0.2232704783954946</c:v>
                </c:pt>
                <c:pt idx="26">
                  <c:v>0.14709622666221786</c:v>
                </c:pt>
                <c:pt idx="27">
                  <c:v>0.15440850956484384</c:v>
                </c:pt>
                <c:pt idx="28">
                  <c:v>0.15014669161765012</c:v>
                </c:pt>
                <c:pt idx="29">
                  <c:v>0.15463146092483468</c:v>
                </c:pt>
                <c:pt idx="30">
                  <c:v>0.13650162764153384</c:v>
                </c:pt>
                <c:pt idx="31">
                  <c:v>0.13851077083078664</c:v>
                </c:pt>
                <c:pt idx="32">
                  <c:v>0.16192175546776497</c:v>
                </c:pt>
                <c:pt idx="33">
                  <c:v>0.2112316290242757</c:v>
                </c:pt>
                <c:pt idx="34">
                  <c:v>0.20409676487393416</c:v>
                </c:pt>
                <c:pt idx="35">
                  <c:v>0.19419965523287919</c:v>
                </c:pt>
                <c:pt idx="36">
                  <c:v>0.23912724876080055</c:v>
                </c:pt>
                <c:pt idx="37">
                  <c:v>0.14815716499221349</c:v>
                </c:pt>
                <c:pt idx="38">
                  <c:v>0.11772455048983224</c:v>
                </c:pt>
                <c:pt idx="39">
                  <c:v>0.11066609473193016</c:v>
                </c:pt>
                <c:pt idx="40">
                  <c:v>0.12168088761990024</c:v>
                </c:pt>
                <c:pt idx="41">
                  <c:v>0.12171288216832739</c:v>
                </c:pt>
                <c:pt idx="42">
                  <c:v>0.14005990502996091</c:v>
                </c:pt>
                <c:pt idx="43">
                  <c:v>0.17392030998398045</c:v>
                </c:pt>
                <c:pt idx="44">
                  <c:v>0.15663496134766519</c:v>
                </c:pt>
                <c:pt idx="45">
                  <c:v>5.2996582850355009E-2</c:v>
                </c:pt>
                <c:pt idx="46">
                  <c:v>4.2525566905509966E-2</c:v>
                </c:pt>
                <c:pt idx="47">
                  <c:v>-6.237259849620682E-2</c:v>
                </c:pt>
                <c:pt idx="48">
                  <c:v>-4.2393064141543306E-2</c:v>
                </c:pt>
                <c:pt idx="49">
                  <c:v>2.6036969918984139E-2</c:v>
                </c:pt>
                <c:pt idx="50">
                  <c:v>7.3282583606329443E-2</c:v>
                </c:pt>
                <c:pt idx="51">
                  <c:v>0.11245256842054603</c:v>
                </c:pt>
                <c:pt idx="52">
                  <c:v>1.729588496700505E-2</c:v>
                </c:pt>
                <c:pt idx="53">
                  <c:v>8.2177879739661897E-2</c:v>
                </c:pt>
                <c:pt idx="54">
                  <c:v>5.8264540041700751E-2</c:v>
                </c:pt>
                <c:pt idx="55">
                  <c:v>8.5954745231360246E-3</c:v>
                </c:pt>
                <c:pt idx="56">
                  <c:v>2.1537556944893378E-2</c:v>
                </c:pt>
                <c:pt idx="57">
                  <c:v>0.12015166259771626</c:v>
                </c:pt>
                <c:pt idx="58">
                  <c:v>0.13796616490011726</c:v>
                </c:pt>
                <c:pt idx="59">
                  <c:v>0.28878070225158448</c:v>
                </c:pt>
                <c:pt idx="60">
                  <c:v>0.19282567325334413</c:v>
                </c:pt>
                <c:pt idx="61">
                  <c:v>6.0955500312092542E-2</c:v>
                </c:pt>
                <c:pt idx="62">
                  <c:v>-8.813499261221347E-2</c:v>
                </c:pt>
                <c:pt idx="63">
                  <c:v>-1.1338110345330561E-2</c:v>
                </c:pt>
                <c:pt idx="64">
                  <c:v>0.10619317666683994</c:v>
                </c:pt>
                <c:pt idx="65">
                  <c:v>5.3889518101616102E-2</c:v>
                </c:pt>
                <c:pt idx="66">
                  <c:v>9.7551401434315371E-2</c:v>
                </c:pt>
                <c:pt idx="67">
                  <c:v>0.19609019269561967</c:v>
                </c:pt>
                <c:pt idx="68">
                  <c:v>0.12975940493049667</c:v>
                </c:pt>
                <c:pt idx="69">
                  <c:v>7.6508743155959333E-2</c:v>
                </c:pt>
                <c:pt idx="70">
                  <c:v>0.15302545872069498</c:v>
                </c:pt>
                <c:pt idx="71">
                  <c:v>0.16258923055706165</c:v>
                </c:pt>
                <c:pt idx="72">
                  <c:v>0.15151664467863027</c:v>
                </c:pt>
                <c:pt idx="73">
                  <c:v>0.29006977819484098</c:v>
                </c:pt>
                <c:pt idx="74">
                  <c:v>0.53714506265113027</c:v>
                </c:pt>
                <c:pt idx="75">
                  <c:v>0.43562936105373379</c:v>
                </c:pt>
                <c:pt idx="76">
                  <c:v>0.38097295688181093</c:v>
                </c:pt>
                <c:pt idx="77">
                  <c:v>0.3861606320225206</c:v>
                </c:pt>
                <c:pt idx="78">
                  <c:v>0.34365587571392275</c:v>
                </c:pt>
                <c:pt idx="79">
                  <c:v>0.29207987294652327</c:v>
                </c:pt>
                <c:pt idx="80">
                  <c:v>0.28086233692016055</c:v>
                </c:pt>
                <c:pt idx="81">
                  <c:v>0.40839029768796742</c:v>
                </c:pt>
                <c:pt idx="82">
                  <c:v>0.26103443691859002</c:v>
                </c:pt>
                <c:pt idx="83">
                  <c:v>0.26892738661371246</c:v>
                </c:pt>
                <c:pt idx="84">
                  <c:v>0.21573991356507929</c:v>
                </c:pt>
                <c:pt idx="85">
                  <c:v>0.14766935268444834</c:v>
                </c:pt>
                <c:pt idx="86">
                  <c:v>0.14033116415166585</c:v>
                </c:pt>
                <c:pt idx="87">
                  <c:v>-1.1776547476852835E-2</c:v>
                </c:pt>
                <c:pt idx="88">
                  <c:v>-1.7116574798865088E-2</c:v>
                </c:pt>
                <c:pt idx="89">
                  <c:v>-0.11916698480221059</c:v>
                </c:pt>
                <c:pt idx="90">
                  <c:v>-6.0285339363741031E-2</c:v>
                </c:pt>
                <c:pt idx="91">
                  <c:v>-0.12551853186991907</c:v>
                </c:pt>
                <c:pt idx="92">
                  <c:v>-0.16759447743453124</c:v>
                </c:pt>
                <c:pt idx="93">
                  <c:v>-0.15924851391322437</c:v>
                </c:pt>
                <c:pt idx="94">
                  <c:v>-0.10661044286799322</c:v>
                </c:pt>
                <c:pt idx="95">
                  <c:v>-0.19442827203429272</c:v>
                </c:pt>
                <c:pt idx="96">
                  <c:v>-9.7208474276063855E-2</c:v>
                </c:pt>
                <c:pt idx="97">
                  <c:v>-9.2317234454910899E-2</c:v>
                </c:pt>
                <c:pt idx="98">
                  <c:v>-9.2949663084106113E-2</c:v>
                </c:pt>
                <c:pt idx="99">
                  <c:v>9.0877152057392222E-3</c:v>
                </c:pt>
                <c:pt idx="100">
                  <c:v>1.1538830126711004E-2</c:v>
                </c:pt>
                <c:pt idx="101">
                  <c:v>0.17567589530959085</c:v>
                </c:pt>
                <c:pt idx="102">
                  <c:v>0.11105029369296052</c:v>
                </c:pt>
                <c:pt idx="103">
                  <c:v>0.13973708122629583</c:v>
                </c:pt>
                <c:pt idx="104">
                  <c:v>0.19590187039974943</c:v>
                </c:pt>
                <c:pt idx="105">
                  <c:v>8.3115053755982951E-2</c:v>
                </c:pt>
                <c:pt idx="106">
                  <c:v>0.11952856281464046</c:v>
                </c:pt>
                <c:pt idx="107">
                  <c:v>0.242305007976299</c:v>
                </c:pt>
                <c:pt idx="108">
                  <c:v>0.18864980284174745</c:v>
                </c:pt>
                <c:pt idx="109">
                  <c:v>0.28364675009442414</c:v>
                </c:pt>
                <c:pt idx="110">
                  <c:v>0.27864532554994037</c:v>
                </c:pt>
                <c:pt idx="111">
                  <c:v>0.20775011871866983</c:v>
                </c:pt>
                <c:pt idx="112">
                  <c:v>0.26261347159652965</c:v>
                </c:pt>
                <c:pt idx="113">
                  <c:v>0.22696941030973261</c:v>
                </c:pt>
                <c:pt idx="114">
                  <c:v>0.20338809919782427</c:v>
                </c:pt>
                <c:pt idx="115">
                  <c:v>0.25306693640426325</c:v>
                </c:pt>
                <c:pt idx="116">
                  <c:v>0.34384632710409996</c:v>
                </c:pt>
                <c:pt idx="117">
                  <c:v>0.36044886762009859</c:v>
                </c:pt>
                <c:pt idx="118">
                  <c:v>0.32063140696797621</c:v>
                </c:pt>
                <c:pt idx="119">
                  <c:v>0.23309002343424021</c:v>
                </c:pt>
                <c:pt idx="120">
                  <c:v>0.24658815781027824</c:v>
                </c:pt>
                <c:pt idx="121">
                  <c:v>0.16840355341840563</c:v>
                </c:pt>
                <c:pt idx="122">
                  <c:v>6.8038861772736853E-2</c:v>
                </c:pt>
                <c:pt idx="123">
                  <c:v>0.10591798212233711</c:v>
                </c:pt>
                <c:pt idx="124">
                  <c:v>0.12016655656650327</c:v>
                </c:pt>
                <c:pt idx="125">
                  <c:v>0.13633787093929453</c:v>
                </c:pt>
                <c:pt idx="126">
                  <c:v>0.14796196529164865</c:v>
                </c:pt>
                <c:pt idx="127">
                  <c:v>0.14373271675477092</c:v>
                </c:pt>
                <c:pt idx="128">
                  <c:v>0.16069122732005153</c:v>
                </c:pt>
                <c:pt idx="129">
                  <c:v>0.19888877497034171</c:v>
                </c:pt>
                <c:pt idx="130">
                  <c:v>0.13538768724835712</c:v>
                </c:pt>
                <c:pt idx="131">
                  <c:v>0.16387806380067441</c:v>
                </c:pt>
                <c:pt idx="132">
                  <c:v>0.14874523128880798</c:v>
                </c:pt>
                <c:pt idx="133">
                  <c:v>0.16038454372743302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26-4926-8DB9-F77178630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965024"/>
        <c:axId val="90962144"/>
      </c:lineChart>
      <c:dateAx>
        <c:axId val="90965024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2144"/>
        <c:crosses val="autoZero"/>
        <c:auto val="0"/>
        <c:lblOffset val="100"/>
        <c:baseTimeUnit val="days"/>
        <c:majorUnit val="12"/>
      </c:dateAx>
      <c:valAx>
        <c:axId val="909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[SPY vs S^0P 500.xlsx]Pivot 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90000"/>
                    <a:lumOff val="10000"/>
                  </a:schemeClr>
                </a:solidFill>
              </a:rPr>
              <a:t>Monthly</a:t>
            </a:r>
            <a:r>
              <a:rPr lang="en-US" baseline="0">
                <a:solidFill>
                  <a:schemeClr val="tx2">
                    <a:lumMod val="90000"/>
                    <a:lumOff val="10000"/>
                  </a:schemeClr>
                </a:solidFill>
              </a:rPr>
              <a:t> Return (Last 12 months)</a:t>
            </a:r>
            <a:endParaRPr lang="en-US">
              <a:solidFill>
                <a:schemeClr val="tx2">
                  <a:lumMod val="90000"/>
                  <a:lumOff val="1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Tables'!$O$3</c:f>
              <c:strCache>
                <c:ptCount val="1"/>
                <c:pt idx="0">
                  <c:v>SPY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1"/>
          <c:cat>
            <c:strRef>
              <c:f>'Pivot Tables'!$N$4:$N$17</c:f>
              <c:strCache>
                <c:ptCount val="14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1/1/2026</c:v>
                </c:pt>
                <c:pt idx="13">
                  <c:v>2/1/2026</c:v>
                </c:pt>
              </c:strCache>
            </c:strRef>
          </c:cat>
          <c:val>
            <c:numRef>
              <c:f>'Pivot Tables'!$O$4:$O$17</c:f>
              <c:numCache>
                <c:formatCode>0.00%</c:formatCode>
                <c:ptCount val="14"/>
                <c:pt idx="0">
                  <c:v>3.0312468119138878E-2</c:v>
                </c:pt>
                <c:pt idx="1">
                  <c:v>-1.2694735727451863E-2</c:v>
                </c:pt>
                <c:pt idx="2">
                  <c:v>-5.8551336035182519E-2</c:v>
                </c:pt>
                <c:pt idx="3">
                  <c:v>-5.6880327218085487E-3</c:v>
                </c:pt>
                <c:pt idx="4">
                  <c:v>6.2845017875814549E-2</c:v>
                </c:pt>
                <c:pt idx="5">
                  <c:v>4.8287008852633956E-2</c:v>
                </c:pt>
                <c:pt idx="6">
                  <c:v>2.6055913547335212E-2</c:v>
                </c:pt>
                <c:pt idx="7">
                  <c:v>2.0519591257208453E-2</c:v>
                </c:pt>
                <c:pt idx="8">
                  <c:v>3.2757089705601199E-2</c:v>
                </c:pt>
                <c:pt idx="9">
                  <c:v>2.6676008952081595E-2</c:v>
                </c:pt>
                <c:pt idx="10">
                  <c:v>1.9499283249212794E-3</c:v>
                </c:pt>
                <c:pt idx="11">
                  <c:v>-2.1510839531860208E-3</c:v>
                </c:pt>
                <c:pt idx="12">
                  <c:v>1.7736268431891099E-2</c:v>
                </c:pt>
                <c:pt idx="13">
                  <c:v>-3.6706477663515165E-3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9743-4A59-8733-B9B4774D22E5}"/>
            </c:ext>
          </c:extLst>
        </c:ser>
        <c:ser>
          <c:idx val="1"/>
          <c:order val="1"/>
          <c:tx>
            <c:strRef>
              <c:f>'Pivot Tables'!$P$3</c:f>
              <c:strCache>
                <c:ptCount val="1"/>
                <c:pt idx="0">
                  <c:v>S&amp;P500</c:v>
                </c:pt>
              </c:strCache>
            </c:strRef>
          </c:tx>
          <c:spPr>
            <a:solidFill>
              <a:srgbClr val="B4E5A2"/>
            </a:solidFill>
            <a:ln>
              <a:noFill/>
            </a:ln>
            <a:effectLst/>
          </c:spPr>
          <c:invertIfNegative val="1"/>
          <c:cat>
            <c:strRef>
              <c:f>'Pivot Tables'!$N$4:$N$17</c:f>
              <c:strCache>
                <c:ptCount val="14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1/1/2026</c:v>
                </c:pt>
                <c:pt idx="13">
                  <c:v>2/1/2026</c:v>
                </c:pt>
              </c:strCache>
            </c:strRef>
          </c:cat>
          <c:val>
            <c:numRef>
              <c:f>'Pivot Tables'!$P$4:$P$17</c:f>
              <c:numCache>
                <c:formatCode>0.00%</c:formatCode>
                <c:ptCount val="14"/>
                <c:pt idx="0">
                  <c:v>2.7016304240444086E-2</c:v>
                </c:pt>
                <c:pt idx="1">
                  <c:v>-1.4242092699825116E-2</c:v>
                </c:pt>
                <c:pt idx="2">
                  <c:v>-5.7544697681375427E-2</c:v>
                </c:pt>
                <c:pt idx="3">
                  <c:v>-7.6249433462898374E-3</c:v>
                </c:pt>
                <c:pt idx="4">
                  <c:v>6.1523826140782882E-2</c:v>
                </c:pt>
                <c:pt idx="5">
                  <c:v>4.960683946771579E-2</c:v>
                </c:pt>
                <c:pt idx="6">
                  <c:v>2.1666562530640778E-2</c:v>
                </c:pt>
                <c:pt idx="7">
                  <c:v>1.9066444295036206E-2</c:v>
                </c:pt>
                <c:pt idx="8">
                  <c:v>3.5323687218701598E-2</c:v>
                </c:pt>
                <c:pt idx="9">
                  <c:v>2.2686871904923696E-2</c:v>
                </c:pt>
                <c:pt idx="10">
                  <c:v>1.2996181666717825E-3</c:v>
                </c:pt>
                <c:pt idx="11">
                  <c:v>-5.2413442251394028E-4</c:v>
                </c:pt>
                <c:pt idx="12">
                  <c:v>1.3662958900920313E-2</c:v>
                </c:pt>
                <c:pt idx="13">
                  <c:v>-4.2541998586601085E-3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505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9743-4A59-8733-B9B4774D2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3"/>
        <c:axId val="108245168"/>
        <c:axId val="108244688"/>
      </c:barChart>
      <c:catAx>
        <c:axId val="10824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44688"/>
        <c:crosses val="autoZero"/>
        <c:auto val="1"/>
        <c:lblAlgn val="ctr"/>
        <c:lblOffset val="100"/>
        <c:noMultiLvlLbl val="0"/>
      </c:catAx>
      <c:valAx>
        <c:axId val="10824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4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[SPY vs S^0P 500.xlsx]Pivot Tables!PivotTable4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90000"/>
                    <a:lumOff val="10000"/>
                  </a:schemeClr>
                </a:solidFill>
              </a:rPr>
              <a:t>Active</a:t>
            </a:r>
            <a:r>
              <a:rPr lang="en-US" baseline="0">
                <a:solidFill>
                  <a:schemeClr val="tx2">
                    <a:lumMod val="90000"/>
                    <a:lumOff val="10000"/>
                  </a:schemeClr>
                </a:solidFill>
              </a:rPr>
              <a:t> return</a:t>
            </a:r>
            <a:endParaRPr lang="en-US">
              <a:solidFill>
                <a:schemeClr val="tx2">
                  <a:lumMod val="90000"/>
                  <a:lumOff val="1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Tables'!$R$22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Tables'!$Q$23:$Q$35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'Pivot Tables'!$R$23:$R$35</c:f>
              <c:numCache>
                <c:formatCode>0.00%</c:formatCode>
                <c:ptCount val="12"/>
                <c:pt idx="0">
                  <c:v>1.3411766672219848E-2</c:v>
                </c:pt>
                <c:pt idx="1">
                  <c:v>2.1928220420036691E-2</c:v>
                </c:pt>
                <c:pt idx="2">
                  <c:v>2.0298034571515054E-2</c:v>
                </c:pt>
                <c:pt idx="3">
                  <c:v>1.74428048769193E-2</c:v>
                </c:pt>
                <c:pt idx="4">
                  <c:v>1.9538953945333722E-2</c:v>
                </c:pt>
                <c:pt idx="5">
                  <c:v>1.9753235377372912E-2</c:v>
                </c:pt>
                <c:pt idx="6">
                  <c:v>1.574372040806107E-2</c:v>
                </c:pt>
                <c:pt idx="7">
                  <c:v>1.5649582064614392E-2</c:v>
                </c:pt>
                <c:pt idx="8">
                  <c:v>1.6465470387790303E-2</c:v>
                </c:pt>
                <c:pt idx="9">
                  <c:v>1.3488256618518504E-2</c:v>
                </c:pt>
                <c:pt idx="10">
                  <c:v>1.2063552382193671E-2</c:v>
                </c:pt>
                <c:pt idx="11">
                  <c:v>4.6568616232793777E-3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0E-4F15-8DC8-2D83C6E39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630848"/>
        <c:axId val="90967424"/>
      </c:lineChart>
      <c:catAx>
        <c:axId val="11663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7424"/>
        <c:crosses val="autoZero"/>
        <c:auto val="1"/>
        <c:lblAlgn val="ctr"/>
        <c:lblOffset val="100"/>
        <c:noMultiLvlLbl val="0"/>
      </c:catAx>
      <c:valAx>
        <c:axId val="9096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68586</xdr:colOff>
      <xdr:row>2</xdr:row>
      <xdr:rowOff>0</xdr:rowOff>
    </xdr:from>
    <xdr:to>
      <xdr:col>11</xdr:col>
      <xdr:colOff>373386</xdr:colOff>
      <xdr:row>18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CC52EF-1118-61EB-38D8-666F7E918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53340</xdr:colOff>
      <xdr:row>1</xdr:row>
      <xdr:rowOff>64770</xdr:rowOff>
    </xdr:from>
    <xdr:to>
      <xdr:col>23</xdr:col>
      <xdr:colOff>358140</xdr:colOff>
      <xdr:row>16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2841A7-06F0-BB27-EAC6-210F07698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91440</xdr:colOff>
      <xdr:row>30</xdr:row>
      <xdr:rowOff>34290</xdr:rowOff>
    </xdr:from>
    <xdr:to>
      <xdr:col>16</xdr:col>
      <xdr:colOff>53340</xdr:colOff>
      <xdr:row>45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714BF9-52BF-79A5-FF5D-EC9FE88C0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647700</xdr:colOff>
      <xdr:row>19</xdr:row>
      <xdr:rowOff>102870</xdr:rowOff>
    </xdr:from>
    <xdr:to>
      <xdr:col>24</xdr:col>
      <xdr:colOff>281940</xdr:colOff>
      <xdr:row>34</xdr:row>
      <xdr:rowOff>102870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170F57-740D-3EB0-EFA4-17196773F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259080</xdr:colOff>
      <xdr:row>21</xdr:row>
      <xdr:rowOff>68580</xdr:rowOff>
    </xdr:from>
    <xdr:to>
      <xdr:col>17</xdr:col>
      <xdr:colOff>106680</xdr:colOff>
      <xdr:row>35</xdr:row>
      <xdr:rowOff>76200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D958D869-E384-3B8C-2FE6-B6D8C3AA08E7}"/>
            </a:ext>
          </a:extLst>
        </xdr:cNvPr>
        <xdr:cNvSpPr/>
      </xdr:nvSpPr>
      <xdr:spPr>
        <a:xfrm>
          <a:off x="5745480" y="4053840"/>
          <a:ext cx="4724400" cy="256794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68580</xdr:colOff>
      <xdr:row>21</xdr:row>
      <xdr:rowOff>53340</xdr:rowOff>
    </xdr:from>
    <xdr:to>
      <xdr:col>9</xdr:col>
      <xdr:colOff>175260</xdr:colOff>
      <xdr:row>35</xdr:row>
      <xdr:rowOff>60960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EA75B1A-D295-EA84-41DC-E9ED3CEE87BC}"/>
            </a:ext>
          </a:extLst>
        </xdr:cNvPr>
        <xdr:cNvSpPr/>
      </xdr:nvSpPr>
      <xdr:spPr>
        <a:xfrm>
          <a:off x="68580" y="4038600"/>
          <a:ext cx="5593080" cy="256794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106680</xdr:colOff>
      <xdr:row>8</xdr:row>
      <xdr:rowOff>68580</xdr:rowOff>
    </xdr:from>
    <xdr:to>
      <xdr:col>13</xdr:col>
      <xdr:colOff>259080</xdr:colOff>
      <xdr:row>20</xdr:row>
      <xdr:rowOff>45720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D7953897-7A31-B325-BFD1-75BC438E2816}"/>
            </a:ext>
          </a:extLst>
        </xdr:cNvPr>
        <xdr:cNvSpPr/>
      </xdr:nvSpPr>
      <xdr:spPr>
        <a:xfrm>
          <a:off x="106680" y="1676400"/>
          <a:ext cx="8077200" cy="21717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83820</xdr:colOff>
      <xdr:row>2</xdr:row>
      <xdr:rowOff>91440</xdr:rowOff>
    </xdr:from>
    <xdr:to>
      <xdr:col>2</xdr:col>
      <xdr:colOff>342900</xdr:colOff>
      <xdr:row>7</xdr:row>
      <xdr:rowOff>38100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1045F0A-7C01-7534-A68A-4813113986E7}"/>
            </a:ext>
          </a:extLst>
        </xdr:cNvPr>
        <xdr:cNvSpPr/>
      </xdr:nvSpPr>
      <xdr:spPr>
        <a:xfrm>
          <a:off x="83820" y="601980"/>
          <a:ext cx="1478280" cy="861060"/>
        </a:xfrm>
        <a:prstGeom prst="roundRect">
          <a:avLst>
            <a:gd name="adj" fmla="val 0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algn="l" rotWithShape="0">
            <a:prstClr val="black">
              <a:alpha val="22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2">
                  <a:lumMod val="90000"/>
                  <a:lumOff val="10000"/>
                </a:schemeClr>
              </a:solidFill>
            </a:rPr>
            <a:t>SPY CAGR</a:t>
          </a:r>
        </a:p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r>
            <a:rPr lang="en-US" sz="1100">
              <a:solidFill>
                <a:sysClr val="windowText" lastClr="000000"/>
              </a:solidFill>
            </a:rPr>
            <a:t>since</a:t>
          </a:r>
          <a:r>
            <a:rPr lang="en-US" sz="1100" baseline="0">
              <a:solidFill>
                <a:sysClr val="windowText" lastClr="000000"/>
              </a:solidFill>
            </a:rPr>
            <a:t> Jan 2015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312420</xdr:colOff>
      <xdr:row>3</xdr:row>
      <xdr:rowOff>83820</xdr:rowOff>
    </xdr:from>
    <xdr:to>
      <xdr:col>2</xdr:col>
      <xdr:colOff>114300</xdr:colOff>
      <xdr:row>5</xdr:row>
      <xdr:rowOff>38100</xdr:rowOff>
    </xdr:to>
    <xdr:sp macro="" textlink="Summary!D12">
      <xdr:nvSpPr>
        <xdr:cNvPr id="4" name="TextBox 3">
          <a:extLst>
            <a:ext uri="{FF2B5EF4-FFF2-40B4-BE49-F238E27FC236}">
              <a16:creationId xmlns:a16="http://schemas.microsoft.com/office/drawing/2014/main" id="{35F19660-583A-D9BA-9EBA-E69C3E01D47C}"/>
            </a:ext>
          </a:extLst>
        </xdr:cNvPr>
        <xdr:cNvSpPr txBox="1"/>
      </xdr:nvSpPr>
      <xdr:spPr>
        <a:xfrm>
          <a:off x="312420" y="777240"/>
          <a:ext cx="102108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DE3CD35-88E7-4EE8-93B8-50AD6BFE5A59}" type="TxLink">
            <a:rPr lang="en-US" sz="2000" b="0" i="0" u="none" strike="noStrike">
              <a:solidFill>
                <a:srgbClr val="00B050"/>
              </a:solidFill>
              <a:latin typeface="Aptos Narrow"/>
            </a:rPr>
            <a:pPr algn="ctr"/>
            <a:t>15.33%</a:t>
          </a:fld>
          <a:endParaRPr lang="en-US" sz="20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134112</xdr:colOff>
      <xdr:row>2</xdr:row>
      <xdr:rowOff>91440</xdr:rowOff>
    </xdr:from>
    <xdr:to>
      <xdr:col>6</xdr:col>
      <xdr:colOff>393192</xdr:colOff>
      <xdr:row>7</xdr:row>
      <xdr:rowOff>38100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F4999397-6078-932D-9D2E-2F5B87CC74CC}"/>
            </a:ext>
          </a:extLst>
        </xdr:cNvPr>
        <xdr:cNvGrpSpPr/>
      </xdr:nvGrpSpPr>
      <xdr:grpSpPr>
        <a:xfrm>
          <a:off x="2572512" y="601980"/>
          <a:ext cx="1478280" cy="861060"/>
          <a:chOff x="1661160" y="632460"/>
          <a:chExt cx="1478280" cy="861060"/>
        </a:xfrm>
      </xdr:grpSpPr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740AA255-3547-44AA-86D3-D6EEE7DB856A}"/>
              </a:ext>
            </a:extLst>
          </xdr:cNvPr>
          <xdr:cNvSpPr/>
        </xdr:nvSpPr>
        <xdr:spPr>
          <a:xfrm>
            <a:off x="1661160" y="632460"/>
            <a:ext cx="1478280" cy="861060"/>
          </a:xfrm>
          <a:prstGeom prst="roundRect">
            <a:avLst>
              <a:gd name="adj" fmla="val 0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algn="l" rotWithShape="0">
              <a:prstClr val="black">
                <a:alpha val="22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>
                <a:solidFill>
                  <a:schemeClr val="tx2">
                    <a:lumMod val="90000"/>
                    <a:lumOff val="10000"/>
                  </a:schemeClr>
                </a:solidFill>
              </a:rPr>
              <a:t>SPY</a:t>
            </a:r>
            <a:r>
              <a:rPr lang="en-US" sz="1100" baseline="0">
                <a:solidFill>
                  <a:schemeClr val="tx2">
                    <a:lumMod val="90000"/>
                    <a:lumOff val="10000"/>
                  </a:schemeClr>
                </a:solidFill>
              </a:rPr>
              <a:t> YTD Return</a:t>
            </a:r>
            <a:endParaRPr lang="en-US" sz="1100">
              <a:solidFill>
                <a:schemeClr val="tx2">
                  <a:lumMod val="90000"/>
                  <a:lumOff val="10000"/>
                </a:schemeClr>
              </a:solidFill>
            </a:endParaRPr>
          </a:p>
          <a:p>
            <a:pPr algn="ctr"/>
            <a:endParaRPr lang="en-US" sz="1100">
              <a:solidFill>
                <a:sysClr val="windowText" lastClr="000000"/>
              </a:solidFill>
            </a:endParaRPr>
          </a:p>
          <a:p>
            <a:pPr algn="ctr"/>
            <a:endParaRPr lang="en-US" sz="1100">
              <a:solidFill>
                <a:sysClr val="windowText" lastClr="000000"/>
              </a:solidFill>
            </a:endParaRPr>
          </a:p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since</a:t>
            </a:r>
            <a:r>
              <a:rPr lang="en-US" sz="1100" baseline="0">
                <a:solidFill>
                  <a:sysClr val="windowText" lastClr="000000"/>
                </a:solidFill>
              </a:rPr>
              <a:t> Jan 2026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Summary!D6">
        <xdr:nvSpPr>
          <xdr:cNvPr id="6" name="TextBox 5">
            <a:extLst>
              <a:ext uri="{FF2B5EF4-FFF2-40B4-BE49-F238E27FC236}">
                <a16:creationId xmlns:a16="http://schemas.microsoft.com/office/drawing/2014/main" id="{358072B8-012F-4825-AB94-651AB899784D}"/>
              </a:ext>
            </a:extLst>
          </xdr:cNvPr>
          <xdr:cNvSpPr txBox="1"/>
        </xdr:nvSpPr>
        <xdr:spPr>
          <a:xfrm>
            <a:off x="1889760" y="792480"/>
            <a:ext cx="102108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178633B8-7310-4BD8-8231-6F72171766C1}" type="TxLink">
              <a:rPr lang="en-US" sz="2000" b="0" i="0" u="none" strike="noStrike">
                <a:solidFill>
                  <a:srgbClr val="FF0000"/>
                </a:solidFill>
                <a:latin typeface="Aptos Narrow"/>
                <a:ea typeface="+mn-ea"/>
                <a:cs typeface="+mn-cs"/>
              </a:rPr>
              <a:pPr marL="0" indent="0" algn="ctr"/>
              <a:t>-0.37%</a:t>
            </a:fld>
            <a:endParaRPr lang="en-US" sz="2000" b="0" i="0" u="none" strike="noStrike">
              <a:solidFill>
                <a:srgbClr val="FF0000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8</xdr:col>
      <xdr:colOff>184404</xdr:colOff>
      <xdr:row>2</xdr:row>
      <xdr:rowOff>91440</xdr:rowOff>
    </xdr:from>
    <xdr:to>
      <xdr:col>10</xdr:col>
      <xdr:colOff>443484</xdr:colOff>
      <xdr:row>7</xdr:row>
      <xdr:rowOff>38100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54D23553-0934-1D60-869D-E2964CB95AB8}"/>
            </a:ext>
          </a:extLst>
        </xdr:cNvPr>
        <xdr:cNvGrpSpPr/>
      </xdr:nvGrpSpPr>
      <xdr:grpSpPr>
        <a:xfrm>
          <a:off x="5061204" y="601980"/>
          <a:ext cx="1478280" cy="861060"/>
          <a:chOff x="3268980" y="662940"/>
          <a:chExt cx="1478280" cy="861060"/>
        </a:xfrm>
      </xdr:grpSpPr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B525D9AF-BF9E-24CD-37CA-EC2155AF45ED}"/>
              </a:ext>
            </a:extLst>
          </xdr:cNvPr>
          <xdr:cNvSpPr/>
        </xdr:nvSpPr>
        <xdr:spPr>
          <a:xfrm>
            <a:off x="3268980" y="662940"/>
            <a:ext cx="1478280" cy="861060"/>
          </a:xfrm>
          <a:prstGeom prst="roundRect">
            <a:avLst>
              <a:gd name="adj" fmla="val 0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algn="l" rotWithShape="0">
              <a:prstClr val="black">
                <a:alpha val="22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>
                <a:solidFill>
                  <a:schemeClr val="tx2">
                    <a:lumMod val="90000"/>
                    <a:lumOff val="10000"/>
                  </a:schemeClr>
                </a:solidFill>
              </a:rPr>
              <a:t>SPY 1</a:t>
            </a:r>
            <a:r>
              <a:rPr lang="en-US" sz="1100" baseline="0">
                <a:solidFill>
                  <a:schemeClr val="tx2">
                    <a:lumMod val="90000"/>
                    <a:lumOff val="10000"/>
                  </a:schemeClr>
                </a:solidFill>
              </a:rPr>
              <a:t> YR Return</a:t>
            </a:r>
            <a:endParaRPr lang="en-US" sz="1100">
              <a:solidFill>
                <a:schemeClr val="tx2">
                  <a:lumMod val="90000"/>
                  <a:lumOff val="10000"/>
                </a:schemeClr>
              </a:solidFill>
            </a:endParaRPr>
          </a:p>
          <a:p>
            <a:pPr algn="ctr"/>
            <a:endParaRPr lang="en-US" sz="1100">
              <a:solidFill>
                <a:sysClr val="windowText" lastClr="000000"/>
              </a:solidFill>
            </a:endParaRPr>
          </a:p>
          <a:p>
            <a:pPr algn="ctr"/>
            <a:endParaRPr lang="en-US" sz="1100">
              <a:solidFill>
                <a:sysClr val="windowText" lastClr="000000"/>
              </a:solidFill>
            </a:endParaRPr>
          </a:p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Last</a:t>
            </a:r>
            <a:r>
              <a:rPr lang="en-US" sz="1100" baseline="0">
                <a:solidFill>
                  <a:sysClr val="windowText" lastClr="000000"/>
                </a:solidFill>
              </a:rPr>
              <a:t> Year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Summary!D7">
        <xdr:nvSpPr>
          <xdr:cNvPr id="26" name="TextBox 25">
            <a:extLst>
              <a:ext uri="{FF2B5EF4-FFF2-40B4-BE49-F238E27FC236}">
                <a16:creationId xmlns:a16="http://schemas.microsoft.com/office/drawing/2014/main" id="{F558542C-BFC9-F2E9-E5DB-508883D87413}"/>
              </a:ext>
            </a:extLst>
          </xdr:cNvPr>
          <xdr:cNvSpPr txBox="1"/>
        </xdr:nvSpPr>
        <xdr:spPr>
          <a:xfrm>
            <a:off x="3497580" y="822960"/>
            <a:ext cx="102108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78309904-21B8-47FD-9339-30E68E0E3FCD}" type="TxLink">
              <a:rPr lang="en-US" sz="2000" b="0" i="0" u="none" strike="noStrike">
                <a:solidFill>
                  <a:srgbClr val="00B050"/>
                </a:solidFill>
                <a:latin typeface="Aptos Narrow"/>
                <a:ea typeface="+mn-ea"/>
                <a:cs typeface="+mn-cs"/>
              </a:rPr>
              <a:pPr marL="0" indent="0" algn="ctr"/>
              <a:t>17.39%</a:t>
            </a:fld>
            <a:endParaRPr lang="en-US" sz="2000" b="0" i="0" u="none" strike="noStrike">
              <a:solidFill>
                <a:srgbClr val="00B050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12</xdr:col>
      <xdr:colOff>234696</xdr:colOff>
      <xdr:row>2</xdr:row>
      <xdr:rowOff>91440</xdr:rowOff>
    </xdr:from>
    <xdr:to>
      <xdr:col>14</xdr:col>
      <xdr:colOff>493776</xdr:colOff>
      <xdr:row>7</xdr:row>
      <xdr:rowOff>38100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4CEDBB1D-2926-00C0-58E1-2A62ABCC48B1}"/>
            </a:ext>
          </a:extLst>
        </xdr:cNvPr>
        <xdr:cNvGrpSpPr/>
      </xdr:nvGrpSpPr>
      <xdr:grpSpPr>
        <a:xfrm>
          <a:off x="7549896" y="601980"/>
          <a:ext cx="1478280" cy="861060"/>
          <a:chOff x="4960620" y="662940"/>
          <a:chExt cx="1478280" cy="861060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3540C971-8CBA-5112-41A8-0F3F0F1B6D30}"/>
              </a:ext>
            </a:extLst>
          </xdr:cNvPr>
          <xdr:cNvSpPr/>
        </xdr:nvSpPr>
        <xdr:spPr>
          <a:xfrm>
            <a:off x="4960620" y="662940"/>
            <a:ext cx="1478280" cy="861060"/>
          </a:xfrm>
          <a:prstGeom prst="roundRect">
            <a:avLst>
              <a:gd name="adj" fmla="val 0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algn="l" rotWithShape="0">
              <a:prstClr val="black">
                <a:alpha val="22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>
                <a:solidFill>
                  <a:schemeClr val="tx2">
                    <a:lumMod val="90000"/>
                    <a:lumOff val="10000"/>
                  </a:schemeClr>
                </a:solidFill>
              </a:rPr>
              <a:t>Active</a:t>
            </a:r>
            <a:r>
              <a:rPr lang="en-US" sz="1100" baseline="0">
                <a:solidFill>
                  <a:schemeClr val="tx2">
                    <a:lumMod val="90000"/>
                    <a:lumOff val="10000"/>
                  </a:schemeClr>
                </a:solidFill>
              </a:rPr>
              <a:t> 1YR</a:t>
            </a:r>
            <a:endParaRPr lang="en-US" sz="1100">
              <a:solidFill>
                <a:schemeClr val="tx2">
                  <a:lumMod val="90000"/>
                  <a:lumOff val="10000"/>
                </a:schemeClr>
              </a:solidFill>
            </a:endParaRPr>
          </a:p>
          <a:p>
            <a:pPr algn="ctr"/>
            <a:endParaRPr lang="en-US" sz="1100">
              <a:solidFill>
                <a:sysClr val="windowText" lastClr="000000"/>
              </a:solidFill>
            </a:endParaRPr>
          </a:p>
          <a:p>
            <a:pPr algn="ctr"/>
            <a:endParaRPr lang="en-US" sz="1100">
              <a:solidFill>
                <a:sysClr val="windowText" lastClr="000000"/>
              </a:solidFill>
            </a:endParaRPr>
          </a:p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Vs</a:t>
            </a:r>
            <a:r>
              <a:rPr lang="en-US" sz="1100" baseline="0">
                <a:solidFill>
                  <a:sysClr val="windowText" lastClr="000000"/>
                </a:solidFill>
              </a:rPr>
              <a:t> Index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Summary!I10">
        <xdr:nvSpPr>
          <xdr:cNvPr id="28" name="TextBox 27">
            <a:extLst>
              <a:ext uri="{FF2B5EF4-FFF2-40B4-BE49-F238E27FC236}">
                <a16:creationId xmlns:a16="http://schemas.microsoft.com/office/drawing/2014/main" id="{5464A527-97BA-4AAA-61A4-B9BBC4DFCCF1}"/>
              </a:ext>
            </a:extLst>
          </xdr:cNvPr>
          <xdr:cNvSpPr txBox="1"/>
        </xdr:nvSpPr>
        <xdr:spPr>
          <a:xfrm>
            <a:off x="5189220" y="822960"/>
            <a:ext cx="102108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0F73CC1C-0F92-401B-A417-27F3B8C2224A}" type="TxLink">
              <a:rPr lang="en-US" sz="2000" b="0" i="0" u="none" strike="noStrike">
                <a:solidFill>
                  <a:srgbClr val="00B050"/>
                </a:solidFill>
                <a:latin typeface="Aptos Narrow"/>
                <a:ea typeface="+mn-ea"/>
                <a:cs typeface="+mn-cs"/>
              </a:rPr>
              <a:pPr marL="0" indent="0" algn="ctr"/>
              <a:t>1.35%</a:t>
            </a:fld>
            <a:endParaRPr lang="en-US" sz="2000" b="0" i="0" u="none" strike="noStrike">
              <a:solidFill>
                <a:srgbClr val="00B050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16</xdr:col>
      <xdr:colOff>284988</xdr:colOff>
      <xdr:row>2</xdr:row>
      <xdr:rowOff>91440</xdr:rowOff>
    </xdr:from>
    <xdr:to>
      <xdr:col>18</xdr:col>
      <xdr:colOff>894588</xdr:colOff>
      <xdr:row>7</xdr:row>
      <xdr:rowOff>38100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7071894F-54F7-226B-A94C-21F32A5ED01A}"/>
            </a:ext>
          </a:extLst>
        </xdr:cNvPr>
        <xdr:cNvGrpSpPr/>
      </xdr:nvGrpSpPr>
      <xdr:grpSpPr>
        <a:xfrm>
          <a:off x="10038588" y="601980"/>
          <a:ext cx="1478280" cy="861060"/>
          <a:chOff x="6614160" y="617220"/>
          <a:chExt cx="1478280" cy="861060"/>
        </a:xfrm>
      </xdr:grpSpPr>
      <xdr:sp macro="" textlink="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74F6ABBA-2E65-5322-6516-A09314C9D132}"/>
              </a:ext>
            </a:extLst>
          </xdr:cNvPr>
          <xdr:cNvSpPr/>
        </xdr:nvSpPr>
        <xdr:spPr>
          <a:xfrm>
            <a:off x="6614160" y="617220"/>
            <a:ext cx="1478280" cy="861060"/>
          </a:xfrm>
          <a:prstGeom prst="roundRect">
            <a:avLst>
              <a:gd name="adj" fmla="val 0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algn="l" rotWithShape="0">
              <a:prstClr val="black">
                <a:alpha val="22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>
                <a:solidFill>
                  <a:schemeClr val="tx2">
                    <a:lumMod val="90000"/>
                    <a:lumOff val="10000"/>
                  </a:schemeClr>
                </a:solidFill>
              </a:rPr>
              <a:t>Volatility</a:t>
            </a:r>
            <a:r>
              <a:rPr lang="en-US" sz="1100" baseline="0">
                <a:solidFill>
                  <a:schemeClr val="tx2">
                    <a:lumMod val="90000"/>
                    <a:lumOff val="10000"/>
                  </a:schemeClr>
                </a:solidFill>
              </a:rPr>
              <a:t> of Return</a:t>
            </a:r>
            <a:endParaRPr lang="en-US" sz="1100">
              <a:solidFill>
                <a:schemeClr val="tx2">
                  <a:lumMod val="90000"/>
                  <a:lumOff val="10000"/>
                </a:schemeClr>
              </a:solidFill>
            </a:endParaRPr>
          </a:p>
          <a:p>
            <a:pPr algn="ctr"/>
            <a:endParaRPr lang="en-US" sz="1100">
              <a:solidFill>
                <a:sysClr val="windowText" lastClr="000000"/>
              </a:solidFill>
            </a:endParaRPr>
          </a:p>
          <a:p>
            <a:pPr algn="ctr"/>
            <a:endParaRPr lang="en-US" sz="1100">
              <a:solidFill>
                <a:sysClr val="windowText" lastClr="000000"/>
              </a:solidFill>
            </a:endParaRPr>
          </a:p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Annualized</a:t>
            </a:r>
          </a:p>
        </xdr:txBody>
      </xdr:sp>
      <xdr:sp macro="" textlink="Summary!I6">
        <xdr:nvSpPr>
          <xdr:cNvPr id="30" name="TextBox 29">
            <a:extLst>
              <a:ext uri="{FF2B5EF4-FFF2-40B4-BE49-F238E27FC236}">
                <a16:creationId xmlns:a16="http://schemas.microsoft.com/office/drawing/2014/main" id="{A71A7DA0-3E33-CC79-A0E3-E38A8569AA6E}"/>
              </a:ext>
            </a:extLst>
          </xdr:cNvPr>
          <xdr:cNvSpPr txBox="1"/>
        </xdr:nvSpPr>
        <xdr:spPr>
          <a:xfrm>
            <a:off x="6842760" y="777240"/>
            <a:ext cx="102108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D48EDE96-B5ED-4D9D-9D7E-C949805D668F}" type="TxLink">
              <a:rPr lang="en-US" sz="2000" b="0" i="0" u="none" strike="noStrike">
                <a:solidFill>
                  <a:srgbClr val="00B050"/>
                </a:solidFill>
                <a:latin typeface="Aptos Narrow"/>
                <a:ea typeface="+mn-ea"/>
                <a:cs typeface="+mn-cs"/>
              </a:rPr>
              <a:pPr marL="0" indent="0" algn="ctr"/>
              <a:t>15.11%</a:t>
            </a:fld>
            <a:endParaRPr lang="en-US" sz="2000" b="0" i="0" u="none" strike="noStrike">
              <a:solidFill>
                <a:srgbClr val="00B050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20</xdr:col>
      <xdr:colOff>152400</xdr:colOff>
      <xdr:row>2</xdr:row>
      <xdr:rowOff>91440</xdr:rowOff>
    </xdr:from>
    <xdr:to>
      <xdr:col>21</xdr:col>
      <xdr:colOff>868680</xdr:colOff>
      <xdr:row>7</xdr:row>
      <xdr:rowOff>45720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875A630E-8795-35E4-B72F-08B40FD969F9}"/>
            </a:ext>
          </a:extLst>
        </xdr:cNvPr>
        <xdr:cNvGrpSpPr/>
      </xdr:nvGrpSpPr>
      <xdr:grpSpPr>
        <a:xfrm>
          <a:off x="12527280" y="601980"/>
          <a:ext cx="1508760" cy="868680"/>
          <a:chOff x="8602980" y="655320"/>
          <a:chExt cx="1478280" cy="861060"/>
        </a:xfrm>
      </xdr:grpSpPr>
      <xdr:sp macro="" textlink="">
        <xdr:nvSpPr>
          <xdr:cNvPr id="31" name="Rectangle: Rounded Corners 30">
            <a:extLst>
              <a:ext uri="{FF2B5EF4-FFF2-40B4-BE49-F238E27FC236}">
                <a16:creationId xmlns:a16="http://schemas.microsoft.com/office/drawing/2014/main" id="{471778E1-D781-3DD4-FF98-B1A098C8AD78}"/>
              </a:ext>
            </a:extLst>
          </xdr:cNvPr>
          <xdr:cNvSpPr/>
        </xdr:nvSpPr>
        <xdr:spPr>
          <a:xfrm>
            <a:off x="8602980" y="655320"/>
            <a:ext cx="1478280" cy="861060"/>
          </a:xfrm>
          <a:prstGeom prst="roundRect">
            <a:avLst>
              <a:gd name="adj" fmla="val 0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algn="l" rotWithShape="0">
              <a:prstClr val="black">
                <a:alpha val="22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>
                <a:solidFill>
                  <a:schemeClr val="tx2">
                    <a:lumMod val="90000"/>
                    <a:lumOff val="10000"/>
                  </a:schemeClr>
                </a:solidFill>
              </a:rPr>
              <a:t>Max</a:t>
            </a:r>
            <a:r>
              <a:rPr lang="en-US" sz="1100" baseline="0">
                <a:solidFill>
                  <a:schemeClr val="tx2">
                    <a:lumMod val="90000"/>
                    <a:lumOff val="10000"/>
                  </a:schemeClr>
                </a:solidFill>
              </a:rPr>
              <a:t> Draw Down</a:t>
            </a:r>
            <a:endParaRPr lang="en-US" sz="1100">
              <a:solidFill>
                <a:schemeClr val="tx2">
                  <a:lumMod val="90000"/>
                  <a:lumOff val="10000"/>
                </a:schemeClr>
              </a:solidFill>
            </a:endParaRPr>
          </a:p>
          <a:p>
            <a:pPr algn="ctr"/>
            <a:endParaRPr lang="en-US" sz="1100">
              <a:solidFill>
                <a:sysClr val="windowText" lastClr="000000"/>
              </a:solidFill>
            </a:endParaRPr>
          </a:p>
          <a:p>
            <a:pPr algn="ctr"/>
            <a:endParaRPr lang="en-US" sz="1100">
              <a:solidFill>
                <a:sysClr val="windowText" lastClr="000000"/>
              </a:solidFill>
            </a:endParaRPr>
          </a:p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Peak</a:t>
            </a:r>
            <a:r>
              <a:rPr lang="en-US" sz="1100" baseline="0">
                <a:solidFill>
                  <a:sysClr val="windowText" lastClr="000000"/>
                </a:solidFill>
              </a:rPr>
              <a:t> Loss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Summary!I8">
        <xdr:nvSpPr>
          <xdr:cNvPr id="32" name="TextBox 31">
            <a:extLst>
              <a:ext uri="{FF2B5EF4-FFF2-40B4-BE49-F238E27FC236}">
                <a16:creationId xmlns:a16="http://schemas.microsoft.com/office/drawing/2014/main" id="{7969F7F9-DB49-1423-67FB-FD9E54A58998}"/>
              </a:ext>
            </a:extLst>
          </xdr:cNvPr>
          <xdr:cNvSpPr txBox="1"/>
        </xdr:nvSpPr>
        <xdr:spPr>
          <a:xfrm>
            <a:off x="8831580" y="815340"/>
            <a:ext cx="102108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F74762A8-3127-4559-AC1A-F10966E1F215}" type="TxLink">
              <a:rPr lang="en-US" sz="1800" b="0" i="0" u="none" strike="noStrike">
                <a:solidFill>
                  <a:srgbClr val="FF0000"/>
                </a:solidFill>
                <a:latin typeface="Aptos Narrow"/>
                <a:ea typeface="+mn-ea"/>
                <a:cs typeface="+mn-cs"/>
              </a:rPr>
              <a:pPr marL="0" indent="0" algn="ctr"/>
              <a:t>-23.97%</a:t>
            </a:fld>
            <a:endParaRPr lang="en-US" sz="1800" b="0" i="0" u="none" strike="noStrike">
              <a:solidFill>
                <a:srgbClr val="FF0000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152400</xdr:colOff>
      <xdr:row>8</xdr:row>
      <xdr:rowOff>53340</xdr:rowOff>
    </xdr:from>
    <xdr:to>
      <xdr:col>13</xdr:col>
      <xdr:colOff>160020</xdr:colOff>
      <xdr:row>20</xdr:row>
      <xdr:rowOff>114300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31468B89-9A8F-440F-B79D-957B0268E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441960</xdr:colOff>
      <xdr:row>8</xdr:row>
      <xdr:rowOff>68580</xdr:rowOff>
    </xdr:from>
    <xdr:to>
      <xdr:col>21</xdr:col>
      <xdr:colOff>845820</xdr:colOff>
      <xdr:row>20</xdr:row>
      <xdr:rowOff>22860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C8B469A3-D340-CF2E-F893-A9ADFB2A1236}"/>
            </a:ext>
          </a:extLst>
        </xdr:cNvPr>
        <xdr:cNvGrpSpPr/>
      </xdr:nvGrpSpPr>
      <xdr:grpSpPr>
        <a:xfrm>
          <a:off x="8366760" y="1676400"/>
          <a:ext cx="5646420" cy="2148840"/>
          <a:chOff x="8252460" y="1676400"/>
          <a:chExt cx="4930140" cy="2286000"/>
        </a:xfrm>
      </xdr:grpSpPr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5E1EC533-9D80-7F64-16E6-E6A78264E698}"/>
              </a:ext>
            </a:extLst>
          </xdr:cNvPr>
          <xdr:cNvSpPr/>
        </xdr:nvSpPr>
        <xdr:spPr>
          <a:xfrm>
            <a:off x="8252460" y="1676400"/>
            <a:ext cx="4930140" cy="2176272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43" name="Chart 42">
            <a:extLst>
              <a:ext uri="{FF2B5EF4-FFF2-40B4-BE49-F238E27FC236}">
                <a16:creationId xmlns:a16="http://schemas.microsoft.com/office/drawing/2014/main" id="{6D7B1D12-B315-4E68-935A-6ADA09A5EBC8}"/>
              </a:ext>
            </a:extLst>
          </xdr:cNvPr>
          <xdr:cNvGraphicFramePr>
            <a:graphicFrameLocks/>
          </xdr:cNvGraphicFramePr>
        </xdr:nvGraphicFramePr>
        <xdr:xfrm>
          <a:off x="8267700" y="1714500"/>
          <a:ext cx="4899660" cy="2247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0</xdr:col>
      <xdr:colOff>137160</xdr:colOff>
      <xdr:row>21</xdr:row>
      <xdr:rowOff>91440</xdr:rowOff>
    </xdr:from>
    <xdr:to>
      <xdr:col>9</xdr:col>
      <xdr:colOff>137160</xdr:colOff>
      <xdr:row>35</xdr:row>
      <xdr:rowOff>15240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584A970C-486C-4CC3-A9FB-BBCAA1130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396240</xdr:colOff>
      <xdr:row>21</xdr:row>
      <xdr:rowOff>99060</xdr:rowOff>
    </xdr:from>
    <xdr:to>
      <xdr:col>17</xdr:col>
      <xdr:colOff>91440</xdr:colOff>
      <xdr:row>35</xdr:row>
      <xdr:rowOff>30480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227E7E23-8912-4987-9E33-7177833B8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ry Nelson" refreshedDate="46075.785109490738" createdVersion="8" refreshedVersion="8" minRefreshableVersion="3" recordCount="134" xr:uid="{91067E2A-3AEF-4E1A-BA8A-CDBFE1699260}">
  <cacheSource type="worksheet">
    <worksheetSource name="General"/>
  </cacheSource>
  <cacheFields count="13">
    <cacheField name="Date" numFmtId="14">
      <sharedItems containsSemiMixedTypes="0" containsNonDate="0" containsDate="1" containsString="0" minDate="2015-01-01T00:00:00" maxDate="2026-02-02T00:00:00" count="134"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</sharedItems>
      <fieldGroup par="12"/>
    </cacheField>
    <cacheField name="Fund_Price" numFmtId="0">
      <sharedItems containsSemiMixedTypes="0" containsString="0" containsNumber="1" minValue="160.61793518066409" maxValue="691.969970703125"/>
    </cacheField>
    <cacheField name="Benchmark_Price" numFmtId="0">
      <sharedItems containsSemiMixedTypes="0" containsString="0" containsNumber="1" minValue="1920.030029296875" maxValue="6939.02978515625"/>
    </cacheField>
    <cacheField name="Fund_Return" numFmtId="10">
      <sharedItems containsSemiMixedTypes="0" containsString="0" containsNumber="1" minValue="-0.12998720311945339" maxValue="0.13361020083499553"/>
    </cacheField>
    <cacheField name="Bench_Return" numFmtId="10">
      <sharedItems containsSemiMixedTypes="0" containsString="0" containsNumber="1" minValue="-0.12511928240892825" maxValue="0.12684403816527889"/>
    </cacheField>
    <cacheField name="Active_Return" numFmtId="10">
      <sharedItems containsSemiMixedTypes="0" containsString="0" containsNumber="1" minValue="-5.566052661114769E-3" maxValue="8.4506981104962783E-3"/>
    </cacheField>
    <cacheField name="Fund_Growth" numFmtId="0">
      <sharedItems containsSemiMixedTypes="0" containsString="0" containsNumber="1" minValue="969.77545538533843" maxValue="4177.9611517032381"/>
    </cacheField>
    <cacheField name="Benchmark_Growth" numFmtId="0">
      <sharedItems containsSemiMixedTypes="0" containsString="0" containsNumber="1" minValue="962.42589621780814" maxValue="3478.2278703769548"/>
    </cacheField>
    <cacheField name="Rolling_12M_Fund" numFmtId="0">
      <sharedItems containsString="0" containsBlank="1" containsNumber="1" minValue="-0.18263232700536411" maxValue="0.5663681248132566"/>
    </cacheField>
    <cacheField name="Rolling_12M_Benchmark" numFmtId="0">
      <sharedItems containsString="0" containsBlank="1" containsNumber="1" minValue="-0.19442827203429272" maxValue="0.53714506265113027"/>
    </cacheField>
    <cacheField name="Months (Date)" numFmtId="0" databaseField="0">
      <fieldGroup base="0">
        <rangePr groupBy="months" startDate="2015-01-01T00:00:00" endDate="2026-02-02T00:00:00"/>
        <groupItems count="14">
          <s v="&lt;1/1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/2026"/>
        </groupItems>
      </fieldGroup>
    </cacheField>
    <cacheField name="Quarters (Date)" numFmtId="0" databaseField="0">
      <fieldGroup base="0">
        <rangePr groupBy="quarters" startDate="2015-01-01T00:00:00" endDate="2026-02-02T00:00:00"/>
        <groupItems count="6">
          <s v="&lt;1/1/2015"/>
          <s v="Qtr1"/>
          <s v="Qtr2"/>
          <s v="Qtr3"/>
          <s v="Qtr4"/>
          <s v="&gt;2/2/2026"/>
        </groupItems>
      </fieldGroup>
    </cacheField>
    <cacheField name="Years (Date)" numFmtId="0" databaseField="0">
      <fieldGroup base="0">
        <rangePr groupBy="years" startDate="2015-01-01T00:00:00" endDate="2026-02-02T00:00:00"/>
        <groupItems count="14">
          <s v="&lt;1/1/20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2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n v="165.62384033203119"/>
    <n v="1994.989990234375"/>
    <n v="0"/>
    <n v="0"/>
    <n v="0"/>
    <n v="1000"/>
    <n v="1000"/>
    <m/>
    <m/>
  </r>
  <r>
    <x v="1"/>
    <n v="174.9325866699219"/>
    <n v="2104.5"/>
    <n v="5.6204145002489866E-2"/>
    <n v="5.4892510890623351E-2"/>
    <n v="1.3116341118665151E-3"/>
    <n v="1056.2041450024899"/>
    <n v="1054.8925108906233"/>
    <m/>
    <m/>
  </r>
  <r>
    <x v="2"/>
    <n v="171.41996765136719"/>
    <n v="2067.889892578125"/>
    <n v="-2.0079843815392913E-2"/>
    <n v="-1.7396107114219531E-2"/>
    <n v="-2.6837367011733823E-3"/>
    <n v="1034.9957307336692"/>
    <n v="1036.5414877771821"/>
    <m/>
    <m/>
  </r>
  <r>
    <x v="3"/>
    <n v="173.87841796875"/>
    <n v="2085.510009765625"/>
    <n v="1.434167997501197E-2"/>
    <n v="8.520819822535261E-3"/>
    <n v="5.820860152476709E-3"/>
    <n v="1049.8393082793552"/>
    <n v="1045.3736710331141"/>
    <m/>
    <m/>
  </r>
  <r>
    <x v="4"/>
    <n v="176.1138610839844"/>
    <n v="2107.389892578125"/>
    <n v="1.2856357570703022E-2"/>
    <n v="1.049138230458981E-2"/>
    <n v="2.3649752661132114E-3"/>
    <n v="1063.3364178183742"/>
    <n v="1056.341085867075"/>
    <m/>
    <m/>
  </r>
  <r>
    <x v="5"/>
    <n v="171.70140075683591"/>
    <n v="2063.110107421875"/>
    <n v="-2.5054588548508967E-2"/>
    <n v="-2.1011671979729998E-2"/>
    <n v="-4.0429165687789689E-3"/>
    <n v="1036.6949613812894"/>
    <n v="1034.1455934721241"/>
    <m/>
    <m/>
  </r>
  <r>
    <x v="6"/>
    <n v="176.4340515136719"/>
    <n v="2103.840087890625"/>
    <n v="2.7563262361140491E-2"/>
    <n v="1.9742029435184834E-2"/>
    <n v="7.8212329259556568E-3"/>
    <n v="1065.2696565903145"/>
    <n v="1054.5617262187175"/>
    <m/>
    <m/>
  </r>
  <r>
    <x v="7"/>
    <n v="165.68037414550781"/>
    <n v="1972.180053710938"/>
    <n v="-6.0950124286698631E-2"/>
    <n v="-6.2580818255865381E-2"/>
    <n v="1.6306939691667494E-3"/>
    <n v="1000.341338622286"/>
    <n v="988.56639049063222"/>
    <m/>
    <m/>
  </r>
  <r>
    <x v="8"/>
    <n v="160.61793518066409"/>
    <n v="1920.030029296875"/>
    <n v="-3.055545348055325E-2"/>
    <n v="-2.6442831280001664E-2"/>
    <n v="-4.1126222005515856E-3"/>
    <n v="969.77545538533843"/>
    <n v="962.42589621780814"/>
    <m/>
    <m/>
  </r>
  <r>
    <x v="9"/>
    <n v="175.18605041503909"/>
    <n v="2079.360107421875"/>
    <n v="9.0700426561882333E-2"/>
    <n v="8.2983117812666457E-2"/>
    <n v="7.717308749215876E-3"/>
    <n v="1057.7345028580323"/>
    <n v="1042.2909977496117"/>
    <m/>
    <m/>
  </r>
  <r>
    <x v="10"/>
    <n v="175.82640075683591"/>
    <n v="2080.409912109375"/>
    <n v="3.6552587393787511E-3"/>
    <n v="5.0486911033491722E-4"/>
    <n v="3.1503896290438339E-3"/>
    <n v="1061.6007961435466"/>
    <n v="1042.8172182783555"/>
    <m/>
    <m/>
  </r>
  <r>
    <x v="11"/>
    <n v="171.7654724121094"/>
    <n v="2043.93994140625"/>
    <n v="-2.3096237693807323E-2"/>
    <n v="-1.7530185032692554E-2"/>
    <n v="-5.566052661114769E-3"/>
    <n v="1037.0818118198802"/>
    <n v="1024.5364394866583"/>
    <m/>
    <m/>
  </r>
  <r>
    <x v="12"/>
    <n v="164.1851501464844"/>
    <n v="1940.239990234375"/>
    <n v="-4.4131816244407159E-2"/>
    <n v="-5.0735322046952344E-2"/>
    <n v="6.6035058025451857E-3"/>
    <n v="991.31350787022836"/>
    <n v="972.55625328046483"/>
    <n v="-8.6864921297719177E-3"/>
    <n v="-2.7443746719535107E-2"/>
  </r>
  <r>
    <x v="13"/>
    <n v="164.0495300292969"/>
    <n v="1932.22998046875"/>
    <n v="-8.2601938766387246E-4"/>
    <n v="-4.1283603090035348E-3"/>
    <n v="3.3023409213396625E-3"/>
    <n v="990.49466369347442"/>
    <n v="968.54119064614861"/>
    <n v="-6.2212860667064294E-2"/>
    <n v="-8.1857932777975762E-2"/>
  </r>
  <r>
    <x v="14"/>
    <n v="174.18608093261719"/>
    <n v="2059.739990234375"/>
    <n v="6.1789575998846449E-2"/>
    <n v="6.5991114440058354E-2"/>
    <n v="-4.201538441211905E-3"/>
    <n v="1051.6969089922143"/>
    <n v="1032.456303197989"/>
    <n v="1.6136470675783249E-2"/>
    <n v="-3.9411684214913281E-3"/>
  </r>
  <r>
    <x v="15"/>
    <n v="175.77452087402341"/>
    <n v="2065.300048828125"/>
    <n v="9.1192128148327757E-3"/>
    <n v="2.6993982833325137E-3"/>
    <n v="6.4198145315002616E-3"/>
    <n v="1061.2875569220162"/>
    <n v="1035.2433139704574"/>
    <n v="1.0904762807389834E-2"/>
    <n v="-9.6906564067612642E-3"/>
  </r>
  <r>
    <x v="16"/>
    <n v="178.76472473144531"/>
    <n v="2096.949951171875"/>
    <n v="1.7011588724881038E-2"/>
    <n v="1.5324602525288526E-2"/>
    <n v="1.6869861995925124E-3"/>
    <n v="1079.3417443592073"/>
    <n v="1051.108006274017"/>
    <n v="1.5051987567274883E-2"/>
    <n v="-4.9539676749033148E-3"/>
  </r>
  <r>
    <x v="17"/>
    <n v="178.45802307128909"/>
    <n v="2098.860107421875"/>
    <n v="-1.71567215297634E-3"/>
    <n v="9.1092124012426441E-4"/>
    <n v="-2.6265933931006046E-3"/>
    <n v="1077.4899477848653"/>
    <n v="1052.0654828825968"/>
    <n v="3.9351002872841628E-2"/>
    <n v="1.7328207482185373E-2"/>
  </r>
  <r>
    <x v="18"/>
    <n v="185.92854309082031"/>
    <n v="2173.60009765625"/>
    <n v="4.1861497123875192E-2"/>
    <n v="3.5609800753315338E-2"/>
    <n v="6.2516963705598547E-3"/>
    <n v="1122.5952901350659"/>
    <n v="1089.5293251074868"/>
    <n v="5.3813260511181307E-2"/>
    <n v="3.3158418345174009E-2"/>
  </r>
  <r>
    <x v="19"/>
    <n v="186.15116882324219"/>
    <n v="2170.949951171875"/>
    <n v="1.1973725428114027E-3"/>
    <n v="-1.2192428990192817E-3"/>
    <n v="2.4166154418306844E-3"/>
    <n v="1123.939454912163"/>
    <n v="1088.2009242145762"/>
    <n v="0.12355594187490197"/>
    <n v="0.10078689168715764"/>
  </r>
  <r>
    <x v="20"/>
    <n v="185.2263488769531"/>
    <n v="2168.27001953125"/>
    <n v="-4.9681124869392764E-3"/>
    <n v="-1.2344511393173193E-3"/>
    <n v="-3.7336613476219574E-3"/>
    <n v="1118.3555972716501"/>
    <n v="1086.8575933438733"/>
    <n v="0.15321087068271239"/>
    <n v="0.1292896394569838"/>
  </r>
  <r>
    <x v="21"/>
    <n v="182.93450927734381"/>
    <n v="2126.14990234375"/>
    <n v="-1.237318347797144E-2"/>
    <n v="-1.9425678909034488E-2"/>
    <n v="7.0524954310630487E-3"/>
    <n v="1104.5179782729917"/>
    <n v="1065.7446467157292"/>
    <n v="4.42298849933975E-2"/>
    <n v="2.2502016247627262E-2"/>
  </r>
  <r>
    <x v="22"/>
    <n v="189.6734619140625"/>
    <n v="2198.81005859375"/>
    <n v="3.6838061136414045E-2"/>
    <n v="3.4174521829295042E-2"/>
    <n v="2.6635393071190033E-3"/>
    <n v="1145.2062790828807"/>
    <n v="1102.1659604093702"/>
    <n v="7.875416375255713E-2"/>
    <n v="5.6911931535803151E-2"/>
  </r>
  <r>
    <x v="23"/>
    <n v="192.3846130371094"/>
    <n v="2238.830078125"/>
    <n v="1.4293782038286807E-2"/>
    <n v="1.8200762441865862E-2"/>
    <n v="-3.9069804035790547E-3"/>
    <n v="1161.5756080249689"/>
    <n v="1122.2262212262922"/>
    <n v="0.12004240628482886"/>
    <n v="9.5350226672836449E-2"/>
  </r>
  <r>
    <x v="24"/>
    <n v="196.9814758300781"/>
    <n v="2278.8701171875"/>
    <n v="2.3894129163448203E-2"/>
    <n v="1.7884358198382421E-2"/>
    <n v="6.0097709650657818E-3"/>
    <n v="1189.3304456362284"/>
    <n v="1142.2965169463205"/>
    <n v="0.19975208265993075"/>
    <n v="0.17453002136721216"/>
  </r>
  <r>
    <x v="25"/>
    <n v="204.72120666503909"/>
    <n v="2363.639892578125"/>
    <n v="3.9291668428951709E-2"/>
    <n v="3.7198160066816283E-2"/>
    <n v="2.0935083621354267E-3"/>
    <n v="1236.0612231586244"/>
    <n v="1184.7878456274564"/>
    <n v="0.24792315240695176"/>
    <n v="0.2232704783954946"/>
  </r>
  <r>
    <x v="26"/>
    <n v="204.08915710449219"/>
    <n v="2362.719970703125"/>
    <n v="-3.0873673071937818E-3"/>
    <n v="-3.8919713526945138E-4"/>
    <n v="-2.6981701719243304E-3"/>
    <n v="1232.2450481485546"/>
    <n v="1184.3267295920361"/>
    <n v="0.17167316706231436"/>
    <n v="0.14709622666221786"/>
  </r>
  <r>
    <x v="27"/>
    <n v="207.01171875"/>
    <n v="2384.199951171875"/>
    <n v="1.4320024086392213E-2"/>
    <n v="9.0912087488547125E-3"/>
    <n v="5.2288153375375009E-3"/>
    <n v="1249.8908269183794"/>
    <n v="1195.0936911176057"/>
    <n v="0.17771175094463271"/>
    <n v="0.15440850956484384"/>
  </r>
  <r>
    <x v="28"/>
    <n v="209.9332275390625"/>
    <n v="2411.800048828125"/>
    <n v="1.4112770072648363E-2"/>
    <n v="1.1576251246328597E-2"/>
    <n v="2.5365188263197658E-3"/>
    <n v="1267.530248774591"/>
    <n v="1208.9283959488853"/>
    <n v="0.17435488379735437"/>
    <n v="0.15014669161765012"/>
  </r>
  <r>
    <x v="29"/>
    <n v="210.24623107910159"/>
    <n v="2423.409912109375"/>
    <n v="1.4909671218237715E-3"/>
    <n v="4.8137752078125807E-3"/>
    <n v="-3.322808085988809E-3"/>
    <n v="1269.420094701431"/>
    <n v="1214.7479054893247"/>
    <n v="0.17812708815626621"/>
    <n v="0.15463146092483468"/>
  </r>
  <r>
    <x v="30"/>
    <n v="215.61405944824219"/>
    <n v="2470.300048828125"/>
    <n v="2.5531151457935254E-2"/>
    <n v="1.9348826001101924E-2"/>
    <n v="6.1823254568333305E-3"/>
    <n v="1301.8298514029998"/>
    <n v="1238.2518513478406"/>
    <n v="0.15966088833881426"/>
    <n v="0.13650162764153384"/>
  </r>
  <r>
    <x v="31"/>
    <n v="216.2431945800781"/>
    <n v="2471.64990234375"/>
    <n v="2.9178761971546292E-3"/>
    <n v="5.4643301985333776E-4"/>
    <n v="2.3714431773012917E-3"/>
    <n v="1305.6284297391539"/>
    <n v="1238.9284730463114"/>
    <n v="0.16165370299344972"/>
    <n v="0.13851077083078664"/>
  </r>
  <r>
    <x v="32"/>
    <n v="219.5109558105469"/>
    <n v="2519.360107421875"/>
    <n v="1.5111510153253429E-2"/>
    <n v="1.9302978562167582E-2"/>
    <n v="-4.1914684089141528E-3"/>
    <n v="1325.3584470115336"/>
    <n v="1262.8434828015834"/>
    <n v="0.18509573363328163"/>
    <n v="0.16192175546776497"/>
  </r>
  <r>
    <x v="33"/>
    <n v="225.79864501953119"/>
    <n v="2575.260009765625"/>
    <n v="2.8644079224961323E-2"/>
    <n v="2.2188135066151297E-2"/>
    <n v="6.4559441588100258E-3"/>
    <n v="1363.3221193692038"/>
    <n v="1290.8636245653938"/>
    <n v="0.23431410460232968"/>
    <n v="0.2112316290242757"/>
  </r>
  <r>
    <x v="34"/>
    <n v="232.7003479003906"/>
    <n v="2647.580078125"/>
    <n v="3.0565740907180457E-2"/>
    <n v="2.808262780656345E-2"/>
    <n v="2.4831131006170064E-3"/>
    <n v="1404.9930700428711"/>
    <n v="1327.1144672830951"/>
    <n v="0.22684715907079703"/>
    <n v="0.20409676487393416"/>
  </r>
  <r>
    <x v="35"/>
    <n v="234.32475280761719"/>
    <n v="2673.610107421875"/>
    <n v="6.9806724479927786E-3"/>
    <n v="9.8316305942705642E-3"/>
    <n v="-2.8509581462777857E-3"/>
    <n v="1414.8008664565402"/>
    <n v="1340.1621664817346"/>
    <n v="0.21800152885624943"/>
    <n v="0.19419965523287919"/>
  </r>
  <r>
    <x v="36"/>
    <n v="248.7964172363281"/>
    <n v="2823.81005859375"/>
    <n v="6.1759008620793386E-2"/>
    <n v="5.6178704125528132E-2"/>
    <n v="5.5803044952652536E-3"/>
    <n v="1502.1775653647355"/>
    <n v="1415.4507403127388"/>
    <n v="0.26304474158243724"/>
    <n v="0.23912724876080055"/>
  </r>
  <r>
    <x v="37"/>
    <n v="239.74998474121091"/>
    <n v="2713.830078125"/>
    <n v="-3.6360782826402649E-2"/>
    <n v="-3.8947371879367747E-2"/>
    <n v="2.5865890529650978E-3"/>
    <n v="1447.5572131438141"/>
    <n v="1360.3226539528523"/>
    <n v="0.17110478512118793"/>
    <n v="0.14815716499221349"/>
  </r>
  <r>
    <x v="38"/>
    <n v="232.24821472167969"/>
    <n v="2640.8701171875"/>
    <n v="-3.1289970790316105E-2"/>
    <n v="-2.6884498600556611E-2"/>
    <n v="-4.4054721897594934E-3"/>
    <n v="1402.2631902272328"/>
    <n v="1323.7510614663513"/>
    <n v="0.13797429523789087"/>
    <n v="0.11772455048983224"/>
  </r>
  <r>
    <x v="39"/>
    <n v="234.38349914550781"/>
    <n v="2648.050048828125"/>
    <n v="9.1939756195198105E-3"/>
    <n v="2.7187749953684033E-3"/>
    <n v="6.4752006241514072E-3"/>
    <n v="1415.1555638103321"/>
    <n v="1327.3500427523584"/>
    <n v="0.13222333769695255"/>
    <n v="0.11066609473193016"/>
  </r>
  <r>
    <x v="40"/>
    <n v="240.0810852050781"/>
    <n v="2705.27001953125"/>
    <n v="2.4308819009623034E-2"/>
    <n v="2.1608341854583629E-2"/>
    <n v="2.7004771550394047E-3"/>
    <n v="1449.5563242814585"/>
    <n v="1356.0318762368474"/>
    <n v="0.14360688881614014"/>
    <n v="0.12168088761990024"/>
  </r>
  <r>
    <x v="41"/>
    <n v="240.38230895996091"/>
    <n v="2718.3701171875"/>
    <n v="1.2546750804025486E-3"/>
    <n v="4.8424362676077314E-3"/>
    <n v="-3.5877611872051829E-3"/>
    <n v="1451.3750464791744"/>
    <n v="1362.5983741743689"/>
    <n v="0.1433370659068848"/>
    <n v="0.12171288216832739"/>
  </r>
  <r>
    <x v="42"/>
    <n v="250.40718078613281"/>
    <n v="2816.2900390625"/>
    <n v="4.1703866934074955E-2"/>
    <n v="3.6021556172899157E-2"/>
    <n v="5.6823107611757989E-3"/>
    <n v="1511.9029982889788"/>
    <n v="1411.6812880507921"/>
    <n v="0.16136759090258981"/>
    <n v="0.14005990502996091"/>
  </r>
  <r>
    <x v="43"/>
    <n v="258.40005493164063"/>
    <n v="2901.52001953125"/>
    <n v="3.191950853971056E-2"/>
    <n v="3.0263211276748244E-2"/>
    <n v="1.6562972629623161E-3"/>
    <n v="1560.1621989540779"/>
    <n v="1454.4032971265053"/>
    <n v="0.19495115410881156"/>
    <n v="0.17392030998398045"/>
  </r>
  <r>
    <x v="44"/>
    <n v="258.76504516601563"/>
    <n v="2913.97998046875"/>
    <n v="1.41250060674932E-3"/>
    <n v="4.2942874264617166E-3"/>
    <n v="-2.8817868197123968E-3"/>
    <n v="1562.365929006728"/>
    <n v="1460.6489229183603"/>
    <n v="0.1788251944442705"/>
    <n v="0.15663496134766519"/>
  </r>
  <r>
    <x v="45"/>
    <n v="241.97370910644531"/>
    <n v="2711.739990234375"/>
    <n v="-6.4890279321913491E-2"/>
    <n v="-6.9403356093696356E-2"/>
    <n v="4.5130767717828646E-3"/>
    <n v="1460.9835674704407"/>
    <n v="1359.2749855931831"/>
    <n v="7.1634903236531836E-2"/>
    <n v="5.2996582850355009E-2"/>
  </r>
  <r>
    <x v="46"/>
    <n v="246.46211242675781"/>
    <n v="2760.169921875"/>
    <n v="1.8549136337526782E-2"/>
    <n v="1.7859356654779876E-2"/>
    <n v="6.8977968274690563E-4"/>
    <n v="1488.083550850336"/>
    <n v="1383.5507623528124"/>
    <n v="5.9139423943869902E-2"/>
    <n v="4.2525566905509966E-2"/>
  </r>
  <r>
    <x v="47"/>
    <n v="223.4565734863281"/>
    <n v="2506.85009765625"/>
    <n v="-9.3343105412465252E-2"/>
    <n v="-9.1776894679972576E-2"/>
    <n v="-1.5662107324926761E-3"/>
    <n v="1349.1812111007575"/>
    <n v="1256.5727697519626"/>
    <n v="-4.6380841934407023E-2"/>
    <n v="-6.237259849620682E-2"/>
  </r>
  <r>
    <x v="48"/>
    <n v="242.75709533691409"/>
    <n v="2704.10009765625"/>
    <n v="8.6372584835893731E-2"/>
    <n v="7.8684401665826201E-2"/>
    <n v="7.6881831700675307E-3"/>
    <n v="1465.7134797155518"/>
    <n v="1355.4454462894657"/>
    <n v="-2.42741513985603E-2"/>
    <n v="-4.2393064141543306E-2"/>
  </r>
  <r>
    <x v="49"/>
    <n v="250.62635803222659"/>
    <n v="2784.489990234375"/>
    <n v="3.2416200582689562E-2"/>
    <n v="2.9728889343927055E-2"/>
    <n v="2.6873112387625075E-3"/>
    <n v="1513.226341870763"/>
    <n v="1395.7413339739353"/>
    <n v="4.5365480639157386E-2"/>
    <n v="2.6036969918984139E-2"/>
  </r>
  <r>
    <x v="50"/>
    <n v="254.04386901855469"/>
    <n v="2834.39990234375"/>
    <n v="1.3635880173020982E-2"/>
    <n v="1.7924256249588457E-2"/>
    <n v="-4.2883760765674746E-3"/>
    <n v="1533.8605149431717"/>
    <n v="1420.7589593022267"/>
    <n v="9.3846380360746176E-2"/>
    <n v="7.3282583606329443E-2"/>
  </r>
  <r>
    <x v="51"/>
    <n v="265.58682250976563"/>
    <n v="2945.830078125"/>
    <n v="4.5436851264329746E-2"/>
    <n v="3.9313498313737941E-2"/>
    <n v="6.1233529505918052E-3"/>
    <n v="1603.5543070208728"/>
    <n v="1476.6139642529829"/>
    <n v="0.13312935201503434"/>
    <n v="0.11245256842054603"/>
  </r>
  <r>
    <x v="52"/>
    <n v="248.6499938964844"/>
    <n v="2752.06005859375"/>
    <n v="-6.3771343974185518E-2"/>
    <n v="-6.5777731366835401E-2"/>
    <n v="2.0063873926498832E-3"/>
    <n v="1501.2934937265582"/>
    <n v="1379.4856475798324"/>
    <n v="3.5691727584814585E-2"/>
    <n v="1.729588496700505E-2"/>
  </r>
  <r>
    <x v="53"/>
    <n v="264.66543579101563"/>
    <n v="2941.760009765625"/>
    <n v="6.4409580887416468E-2"/>
    <n v="6.8930163998240659E-2"/>
    <n v="-4.5205831108241917E-3"/>
    <n v="1597.9911784464912"/>
    <n v="1474.5738195007295"/>
    <n v="0.10101877686472932"/>
    <n v="8.2177879739661897E-2"/>
  </r>
  <r>
    <x v="54"/>
    <n v="269.97372436523438"/>
    <n v="2980.3798828125"/>
    <n v="2.0056599224427121E-2"/>
    <n v="1.3128152166958007E-2"/>
    <n v="6.9284470574691136E-3"/>
    <n v="1630.0414470767623"/>
    <n v="1493.9322489845474"/>
    <n v="7.8138907668997365E-2"/>
    <n v="5.8264540041700751E-2"/>
  </r>
  <r>
    <x v="55"/>
    <n v="265.4534912109375"/>
    <n v="2926.4599609375"/>
    <n v="-1.6743233679221578E-2"/>
    <n v="-1.8091627240523881E-2"/>
    <n v="1.3483935613023031E-3"/>
    <n v="1602.7492822215395"/>
    <n v="1466.9045836133214"/>
    <n v="2.7296574225430609E-2"/>
    <n v="8.5954745231360246E-3"/>
  </r>
  <r>
    <x v="56"/>
    <n v="269.37472534179688"/>
    <n v="2976.739990234375"/>
    <n v="1.4771831076591274E-2"/>
    <n v="1.7181177931020676E-2"/>
    <n v="-2.4093468544294019E-3"/>
    <n v="1626.4248238766438"/>
    <n v="1492.1077322722117"/>
    <n v="4.1001210843506351E-2"/>
    <n v="2.1537556944893378E-2"/>
  </r>
  <r>
    <x v="57"/>
    <n v="276.6005859375"/>
    <n v="3037.56005859375"/>
    <n v="2.6824567845162798E-2"/>
    <n v="2.0431770513684101E-2"/>
    <n v="6.3927973314786973E-3"/>
    <n v="1670.0529669097798"/>
    <n v="1522.5941350396911"/>
    <n v="0.14310181448606124"/>
    <n v="0.12015166259771626"/>
  </r>
  <r>
    <x v="58"/>
    <n v="286.61312866210938"/>
    <n v="3140.97998046875"/>
    <n v="3.6198559343875669E-2"/>
    <n v="3.404703771449992E-2"/>
    <n v="2.1515216293757494E-3"/>
    <n v="1730.5064783398791"/>
    <n v="1574.4339549792637"/>
    <n v="0.16290948673615466"/>
    <n v="0.13796616490011726"/>
  </r>
  <r>
    <x v="59"/>
    <n v="293.49777221679688"/>
    <n v="3230.780029296875"/>
    <n v="2.4020684561187229E-2"/>
    <n v="2.8589818905730029E-2"/>
    <n v="-4.5691343445427995E-3"/>
    <n v="1772.0744285871724"/>
    <n v="1619.4467366311533"/>
    <n v="0.31344434239592489"/>
    <n v="0.28878070225158448"/>
  </r>
  <r>
    <x v="60"/>
    <n v="294.8216552734375"/>
    <n v="3225.52001953125"/>
    <n v="4.5107090477767486E-3"/>
    <n v="-1.6280928190489504E-3"/>
    <n v="6.138801866825699E-3"/>
    <n v="1780.0677407455344"/>
    <n v="1616.8101270284119"/>
    <n v="0.21447183599006581"/>
    <n v="0.19282567325334413"/>
  </r>
  <r>
    <x v="61"/>
    <n v="271.48187255859381"/>
    <n v="2954.219970703125"/>
    <n v="-7.9165767837497569E-2"/>
    <n v="-8.411048363840315E-2"/>
    <n v="4.9447158009055803E-3"/>
    <n v="1639.1473112466547"/>
    <n v="1480.8194452925841"/>
    <n v="8.321357214824758E-2"/>
    <n v="6.0955500312092542E-2"/>
  </r>
  <r>
    <x v="62"/>
    <n v="236.19270324707031"/>
    <n v="2584.590087890625"/>
    <n v="-0.12998720311945339"/>
    <n v="-0.12511928240892825"/>
    <n v="-4.8679207105251365E-3"/>
    <n v="1426.07913675693"/>
    <n v="1295.5403789203888"/>
    <n v="-7.0268044021092171E-2"/>
    <n v="-8.813499261221347E-2"/>
  </r>
  <r>
    <x v="63"/>
    <n v="267.75045776367188"/>
    <n v="2912.429931640625"/>
    <n v="0.13361020083499553"/>
    <n v="0.12684403816527889"/>
    <n v="6.7661626697166355E-3"/>
    <n v="1616.6178566256206"/>
    <n v="1459.8719521888265"/>
    <n v="8.1466212572602059E-3"/>
    <n v="-1.1338110345330561E-2"/>
  </r>
  <r>
    <x v="64"/>
    <n v="280.507568359375"/>
    <n v="3044.31005859375"/>
    <n v="4.7645523007707059E-2"/>
    <n v="4.5281819665558276E-2"/>
    <n v="2.3637033421487832E-3"/>
    <n v="1693.6424599081467"/>
    <n v="1525.9776106626473"/>
    <n v="0.12812216064703882"/>
    <n v="0.10619317666683994"/>
  </r>
  <r>
    <x v="65"/>
    <n v="284.23135375976563"/>
    <n v="3100.2900390625"/>
    <n v="1.3275169087843866E-2"/>
    <n v="1.83883965139243E-2"/>
    <n v="-5.1132274260804345E-3"/>
    <n v="1716.1258499377793"/>
    <n v="1554.0378920388828"/>
    <n v="7.3926986008855292E-2"/>
    <n v="5.3889518101616102E-2"/>
  </r>
  <r>
    <x v="66"/>
    <n v="302.29483032226563"/>
    <n v="3271.1201171875"/>
    <n v="6.3552019590939923E-2"/>
    <n v="5.5101321480443645E-2"/>
    <n v="8.4506981104962783E-3"/>
    <n v="1825.1891135735436"/>
    <n v="1639.6674335209082"/>
    <n v="0.11971945059847969"/>
    <n v="9.7551401434315371E-2"/>
  </r>
  <r>
    <x v="67"/>
    <n v="323.39404296875"/>
    <n v="3500.31005859375"/>
    <n v="6.9796802757067539E-2"/>
    <n v="7.0064666901717712E-2"/>
    <n v="-2.6786414465017339E-4"/>
    <n v="1952.581478127983"/>
    <n v="1754.5501860801451"/>
    <n v="0.21827006867945525"/>
    <n v="0.19609019269561967"/>
  </r>
  <r>
    <x v="68"/>
    <n v="310.04388427734381"/>
    <n v="3363"/>
    <n v="-4.1281399523788495E-2"/>
    <n v="-3.922797017842309E-2"/>
    <n v="-2.0534293453654054E-3"/>
    <n v="1871.9761820266322"/>
    <n v="1685.7227437040465"/>
    <n v="0.15097614998565198"/>
    <n v="0.12975940493049667"/>
  </r>
  <r>
    <x v="69"/>
    <n v="303.52349853515619"/>
    <n v="3269.9599609375"/>
    <n v="-2.1030525267045512E-2"/>
    <n v="-2.7665786221379721E-2"/>
    <n v="6.6352609543342093E-3"/>
    <n v="1832.6075396312137"/>
    <n v="1639.0858986482126"/>
    <n v="9.7334980352281789E-2"/>
    <n v="7.6508743155959333E-2"/>
  </r>
  <r>
    <x v="70"/>
    <n v="336.53982543945313"/>
    <n v="3621.6298828125"/>
    <n v="0.1087768395647718"/>
    <n v="0.10754563544385906"/>
    <n v="1.2312041209127378E-3"/>
    <n v="2031.9527959548693"/>
    <n v="1815.3624331654034"/>
    <n v="0.17419542855694775"/>
    <n v="0.15302545872069498"/>
  </r>
  <r>
    <x v="71"/>
    <n v="347.52670288085938"/>
    <n v="3756.070068359375"/>
    <n v="3.264658923222416E-2"/>
    <n v="3.7121459093570022E-2"/>
    <n v="-4.4748698613458621E-3"/>
    <n v="2098.2891242236769"/>
    <n v="1882.7513354681566"/>
    <n v="0.18408633992680926"/>
    <n v="0.16258923055706165"/>
  </r>
  <r>
    <x v="72"/>
    <n v="345.45159912109381"/>
    <n v="3714.239990234375"/>
    <n v="-5.9710627775183198E-3"/>
    <n v="-1.1136660755445142E-2"/>
    <n v="5.1655979779268221E-3"/>
    <n v="2085.7601081375533"/>
    <n v="1861.7837725581865"/>
    <n v="0.1717307495634901"/>
    <n v="0.15151664467863027"/>
  </r>
  <r>
    <x v="73"/>
    <n v="355.05709838867188"/>
    <n v="3811.14990234375"/>
    <n v="2.7805629766996617E-2"/>
    <n v="2.6091451377448505E-2"/>
    <n v="1.7141783895481127E-3"/>
    <n v="2143.755981487197"/>
    <n v="1910.3604133352108"/>
    <n v="0.30784827378130031"/>
    <n v="0.29006977819484098"/>
  </r>
  <r>
    <x v="74"/>
    <n v="369.9647216796875"/>
    <n v="3972.889892578125"/>
    <n v="4.1986551905791314E-2"/>
    <n v="4.2438632533165238E-2"/>
    <n v="-4.5208062737392418E-4"/>
    <n v="2233.7649032772601"/>
    <n v="1991.4334969226493"/>
    <n v="0.5663681248132566"/>
    <n v="0.53714506265113027"/>
  </r>
  <r>
    <x v="75"/>
    <n v="390.81546020507813"/>
    <n v="4181.169921875"/>
    <n v="5.6358720990276008E-2"/>
    <n v="5.242532134755841E-2"/>
    <n v="3.9333996427175985E-3"/>
    <n v="2359.6570362189341"/>
    <n v="2095.8350379411113"/>
    <n v="0.45962574058427469"/>
    <n v="0.43562936105373379"/>
  </r>
  <r>
    <x v="76"/>
    <n v="393.38156127929688"/>
    <n v="4204.10986328125"/>
    <n v="6.5660173035943957E-3"/>
    <n v="5.4864886706070138E-3"/>
    <n v="1.0795286329873819E-3"/>
    <n v="2375.1505851492957"/>
    <n v="2107.3338131322362"/>
    <n v="0.40239196960030776"/>
    <n v="0.38097295688181093"/>
  </r>
  <r>
    <x v="77"/>
    <n v="400.892578125"/>
    <n v="4297.5"/>
    <n v="1.9093464424913349E-2"/>
    <n v="2.2214009565834771E-2"/>
    <n v="-3.1205451409214227E-3"/>
    <n v="2420.5004383506562"/>
    <n v="2154.1461466155629"/>
    <n v="0.41044460022463697"/>
    <n v="0.3861606320225206"/>
  </r>
  <r>
    <x v="78"/>
    <n v="412.02301025390619"/>
    <n v="4395.259765625"/>
    <n v="2.7764126193016419E-2"/>
    <n v="2.2748054828388597E-2"/>
    <n v="5.0160713646278214E-3"/>
    <n v="2487.7035179712752"/>
    <n v="2203.1487812671353"/>
    <n v="0.36298397764415391"/>
    <n v="0.34365587571392275"/>
  </r>
  <r>
    <x v="79"/>
    <n v="424.28472900390619"/>
    <n v="4522.68017578125"/>
    <n v="2.9759791188467374E-2"/>
    <n v="2.8990416255438543E-2"/>
    <n v="7.6937493302883103E-4"/>
    <n v="2561.737055204916"/>
    <n v="2267.0189815087319"/>
    <n v="0.31197447271749962"/>
    <n v="0.29207987294652327"/>
  </r>
  <r>
    <x v="80"/>
    <n v="403.2188720703125"/>
    <n v="4307.5400390625"/>
    <n v="-4.9650283155488611E-2"/>
    <n v="-4.7569168801901096E-2"/>
    <n v="-2.0811143535875154E-3"/>
    <n v="2434.5460850440845"/>
    <n v="2159.178772900229"/>
    <n v="0.30052193420987072"/>
    <n v="0.28086233692016055"/>
  </r>
  <r>
    <x v="81"/>
    <n v="432.89266967773438"/>
    <n v="4605.3798828125"/>
    <n v="7.3592283652456167E-2"/>
    <n v="6.914383640060659E-2"/>
    <n v="4.4484472518495771E-3"/>
    <n v="2613.7098910996251"/>
    <n v="2308.4726767333045"/>
    <n v="0.42622456504004003"/>
    <n v="0.40839029768796742"/>
  </r>
  <r>
    <x v="82"/>
    <n v="429.41439819335938"/>
    <n v="4567"/>
    <n v="-8.034951220043501E-3"/>
    <n v="-8.3337061847461435E-3"/>
    <n v="2.9875496470264246E-4"/>
    <n v="2592.7088596212943"/>
    <n v="2289.2345437098948"/>
    <n v="0.27596904061096122"/>
    <n v="0.26103443691859002"/>
  </r>
  <r>
    <x v="83"/>
    <n v="447.70101928710938"/>
    <n v="4766.18017578125"/>
    <n v="4.2585020834619958E-2"/>
    <n v="4.3612913462064813E-2"/>
    <n v="-1.0278926274448555E-3"/>
    <n v="2703.1194204263707"/>
    <n v="2389.074731759084"/>
    <n v="0.28824926423162422"/>
    <n v="0.26892738661371246"/>
  </r>
  <r>
    <x v="84"/>
    <n v="425.57864379882813"/>
    <n v="4515.5498046875"/>
    <n v="-4.9413279253881337E-2"/>
    <n v="-5.258516502739384E-2"/>
    <n v="3.1718857735125033E-3"/>
    <n v="2569.5494256482525"/>
    <n v="2263.4448427267557"/>
    <n v="0.23194868653552467"/>
    <n v="0.21573991356507929"/>
  </r>
  <r>
    <x v="85"/>
    <n v="413.01681518554688"/>
    <n v="4373.93994140625"/>
    <n v="-2.9517055886900311E-2"/>
    <n v="-3.1360491945908266E-2"/>
    <n v="1.8434360590079552E-3"/>
    <n v="2493.7038916472402"/>
    <n v="2192.4620989664159"/>
    <n v="0.16324055218135081"/>
    <n v="0.14766935268444834"/>
  </r>
  <r>
    <x v="86"/>
    <n v="427.21505737304688"/>
    <n v="4530.41015625"/>
    <n v="3.4376910734545935E-2"/>
    <n v="3.5773288371546273E-2"/>
    <n v="-1.3963776370003386E-3"/>
    <n v="2579.4297277287874"/>
    <n v="2270.8936778764269"/>
    <n v="0.15474539148877622"/>
    <n v="0.14033116415166585"/>
  </r>
  <r>
    <x v="87"/>
    <n v="390.92950439453119"/>
    <n v="4131.93017578125"/>
    <n v="-8.4935098499655429E-2"/>
    <n v="-8.7956711804343043E-2"/>
    <n v="3.0216133046876148E-3"/>
    <n v="2360.3456097312037"/>
    <n v="2071.1533371131454"/>
    <n v="2.9181084441547969E-4"/>
    <n v="-1.1776547476852835E-2"/>
  </r>
  <r>
    <x v="88"/>
    <n v="391.81198120117188"/>
    <n v="4132.14990234375"/>
    <n v="2.2573809260251552E-3"/>
    <n v="5.3177704644647078E-5"/>
    <n v="2.2042032213805082E-3"/>
    <n v="2365.6738088894381"/>
    <n v="2071.26347629358"/>
    <n v="-3.989968602037792E-3"/>
    <n v="-1.7116574798865088E-2"/>
  </r>
  <r>
    <x v="89"/>
    <n v="357.95672607421881"/>
    <n v="3785.3798828125"/>
    <n v="-8.6406890935707331E-2"/>
    <n v="-8.3919999933826817E-2"/>
    <n v="-2.4868910018805146E-3"/>
    <n v="2161.263290095269"/>
    <n v="1897.4430455000847"/>
    <n v="-0.10710064090384236"/>
    <n v="-0.11916698480221059"/>
  </r>
  <r>
    <x v="90"/>
    <n v="392.60867309570313"/>
    <n v="4130.2900390625"/>
    <n v="9.6804849573631363E-2"/>
    <n v="9.1116391730209953E-2"/>
    <n v="5.68845784342141E-3"/>
    <n v="2370.4840577819532"/>
    <n v="2070.3312093196332"/>
    <n v="-4.7119545935648412E-2"/>
    <n v="-6.0285339363741031E-2"/>
  </r>
  <r>
    <x v="91"/>
    <n v="376.58944702148438"/>
    <n v="3955"/>
    <n v="-4.0802017815622399E-2"/>
    <n v="-4.2440128272998381E-2"/>
    <n v="1.6381104573759825E-3"/>
    <n v="2273.7635250246849"/>
    <n v="1982.4660872285162"/>
    <n v="-0.11241338356531495"/>
    <n v="-0.12551853186991907"/>
  </r>
  <r>
    <x v="92"/>
    <n v="340.37713623046881"/>
    <n v="3585.6201171875"/>
    <n v="-9.6158591477869163E-2"/>
    <n v="-9.3395672013274339E-2"/>
    <n v="-2.7629194645948235E-3"/>
    <n v="2055.1216271045564"/>
    <n v="1797.3123347682824"/>
    <n v="-0.15585018507984288"/>
    <n v="-0.16759447743453124"/>
  </r>
  <r>
    <x v="93"/>
    <n v="369.55331420898438"/>
    <n v="3871.97998046875"/>
    <n v="8.5717208569380601E-2"/>
    <n v="7.9863413837008998E-2"/>
    <n v="5.8537947323716033E-3"/>
    <n v="2231.2809162505228"/>
    <n v="1940.8518335542424"/>
    <n v="-0.14631653503373662"/>
    <n v="-0.15924851391322437"/>
  </r>
  <r>
    <x v="94"/>
    <n v="390.09735107421881"/>
    <n v="4080.110107421875"/>
    <n v="5.5591537338010907E-2"/>
    <n v="5.3752893352493093E-2"/>
    <n v="1.8386439855178141E-3"/>
    <n v="2355.321252617855"/>
    <n v="2045.1782351762743"/>
    <n v="-9.1559685200487018E-2"/>
    <n v="-0.10661044286799322"/>
  </r>
  <r>
    <x v="95"/>
    <n v="365.93634033203119"/>
    <n v="3839.5"/>
    <n v="-6.1935849283915823E-2"/>
    <n v="-5.8971474074730502E-2"/>
    <n v="-2.9643752091853201E-3"/>
    <n v="2209.4424305005118"/>
    <n v="1924.5710599023737"/>
    <n v="-0.18263232700536411"/>
    <n v="-0.19442827203429272"/>
  </r>
  <r>
    <x v="96"/>
    <n v="390.735107421875"/>
    <n v="4076.60009765625"/>
    <n v="6.7767981358021784E-2"/>
    <n v="6.1752857834678994E-2"/>
    <n v="6.0151235233427899E-3"/>
    <n v="2359.1718839422929"/>
    <n v="2043.4188229572626"/>
    <n v="-8.1873319736936179E-2"/>
    <n v="-9.7208474276063855E-2"/>
  </r>
  <r>
    <x v="97"/>
    <n v="380.91110229492188"/>
    <n v="3970.14990234375"/>
    <n v="-2.5142366120549771E-2"/>
    <n v="-2.6112493931818616E-2"/>
    <n v="9.7012781126884495E-4"/>
    <n v="2299.8567206949087"/>
    <n v="1990.0600613426273"/>
    <n v="-7.7734638664049505E-2"/>
    <n v="-9.2317234454910899E-2"/>
  </r>
  <r>
    <x v="98"/>
    <n v="393.53240966796881"/>
    <n v="4109.31005859375"/>
    <n v="3.3134522194301484E-2"/>
    <n v="3.5051612577108933E-2"/>
    <n v="-1.9170903828074487E-3"/>
    <n v="2376.0613742504879"/>
    <n v="2059.8148756179867"/>
    <n v="-7.8842370192177394E-2"/>
    <n v="-9.2949663084106113E-2"/>
  </r>
  <r>
    <x v="99"/>
    <n v="401.34503173828119"/>
    <n v="4169.47998046875"/>
    <n v="1.9852550586377506E-2"/>
    <n v="1.464234166248112E-2"/>
    <n v="5.2102089238963856E-3"/>
    <n v="2423.2322528791337"/>
    <n v="2089.9753887882462"/>
    <n v="2.6642980963745608E-2"/>
    <n v="9.0877152057392222E-3"/>
  </r>
  <r>
    <x v="100"/>
    <n v="403.19772338867188"/>
    <n v="4179.830078125"/>
    <n v="4.6162067644550534E-3"/>
    <n v="2.4823473681929993E-3"/>
    <n v="2.1338593962620541E-3"/>
    <n v="2434.4183939967202"/>
    <n v="2095.1634336941929"/>
    <n v="2.9059198630411728E-2"/>
    <n v="1.1538830126711004E-2"/>
  </r>
  <r>
    <x v="101"/>
    <n v="427.7359619140625"/>
    <n v="4450.3798828125"/>
    <n v="6.0859070133529536E-2"/>
    <n v="6.4727464904234575E-2"/>
    <n v="-3.8683947707050387E-3"/>
    <n v="2582.5748337713208"/>
    <n v="2230.7780513172697"/>
    <n v="0.19493763004574932"/>
    <n v="0.17567589530959085"/>
  </r>
  <r>
    <x v="102"/>
    <n v="443.3780517578125"/>
    <n v="4588.9599609375"/>
    <n v="3.6569499028685108E-2"/>
    <n v="3.1138932355010952E-2"/>
    <n v="5.4305666736741559E-3"/>
    <n v="2677.0183016464275"/>
    <n v="2300.2420981562809"/>
    <n v="0.12931293203941452"/>
    <n v="0.11105029369296052"/>
  </r>
  <r>
    <x v="103"/>
    <n v="436.17221069335938"/>
    <n v="4507.66015625"/>
    <n v="-1.6252137506322008E-2"/>
    <n v="-1.7716390070854068E-2"/>
    <n v="1.4642525645320592E-3"/>
    <n v="2633.5110321011289"/>
    <n v="2259.4901118879447"/>
    <n v="0.15821676402014476"/>
    <n v="0.13973708122629583"/>
  </r>
  <r>
    <x v="104"/>
    <n v="414.02227783203119"/>
    <n v="4288.0498046875"/>
    <n v="-5.0782540286364489E-2"/>
    <n v="-4.871936746562492E-2"/>
    <n v="-2.0631728207395686E-3"/>
    <n v="2499.774652018868"/>
    <n v="2149.40918284193"/>
    <n v="0.21636336217276761"/>
    <n v="0.19590187039974943"/>
  </r>
  <r>
    <x v="105"/>
    <n v="406.46310424804688"/>
    <n v="4193.7998046875"/>
    <n v="-1.825789091245731E-2"/>
    <n v="-2.1979688737982988E-2"/>
    <n v="3.721797825525678E-3"/>
    <n v="2454.1340391165813"/>
    <n v="2102.1658380325021"/>
    <n v="9.98767664093788E-2"/>
    <n v="8.3115053755982951E-2"/>
  </r>
  <r>
    <x v="106"/>
    <n v="443.59100341796881"/>
    <n v="4567.7998046875"/>
    <n v="9.1343836087184868E-2"/>
    <n v="8.9179268781970036E-2"/>
    <n v="2.1645673052148318E-3"/>
    <n v="2678.304056521627"/>
    <n v="2289.635450326678"/>
    <n v="0.13712898125671316"/>
    <n v="0.11952856281464046"/>
  </r>
  <r>
    <x v="107"/>
    <n v="461.97024536132813"/>
    <n v="4769.830078125"/>
    <n v="4.1432855494685672E-2"/>
    <n v="4.4229231156360113E-2"/>
    <n v="-2.7963756616744412E-3"/>
    <n v="2789.2738414663181"/>
    <n v="2390.9042659229735"/>
    <n v="0.26243336461790284"/>
    <n v="0.242305007976299"/>
  </r>
  <r>
    <x v="108"/>
    <n v="471.23065185546881"/>
    <n v="4845.64990234375"/>
    <n v="2.0045460908197005E-2"/>
    <n v="1.5895707598991546E-2"/>
    <n v="4.1497533092054589E-3"/>
    <n v="2845.1861212176877"/>
    <n v="2428.909381031267"/>
    <n v="0.2060105245333973"/>
    <n v="0.18864980284174745"/>
  </r>
  <r>
    <x v="109"/>
    <n v="495.82272338867188"/>
    <n v="5096.27001953125"/>
    <n v="5.2186909820852875E-2"/>
    <n v="5.1720640623723092E-2"/>
    <n v="4.6626919712978304E-4"/>
    <n v="2993.6675927492174"/>
    <n v="2554.5341302351749"/>
    <n v="0.30167569388612686"/>
    <n v="0.28364675009442414"/>
  </r>
  <r>
    <x v="110"/>
    <n v="510.45108032226563"/>
    <n v="5254.35009765625"/>
    <n v="2.9503199921167563E-2"/>
    <n v="3.1018779915342878E-2"/>
    <n v="-1.5155799941753145E-3"/>
    <n v="3081.9903662356178"/>
    <n v="2633.7726622071718"/>
    <n v="0.29710048723291543"/>
    <n v="0.27864532554994037"/>
  </r>
  <r>
    <x v="111"/>
    <n v="491.39193725585938"/>
    <n v="5035.68994140625"/>
    <n v="-3.7337844508769667E-2"/>
    <n v="-4.1615071737898725E-2"/>
    <n v="4.2772272291290575E-3"/>
    <n v="2966.9154891635862"/>
    <n v="2524.168023928104"/>
    <n v="0.22436282598933019"/>
    <n v="0.20775011871866983"/>
  </r>
  <r>
    <x v="112"/>
    <n v="516.246337890625"/>
    <n v="5277.509765625"/>
    <n v="5.0579585765210398E-2"/>
    <n v="4.8021190151199065E-2"/>
    <n v="2.5583956140113329E-3"/>
    <n v="3116.9808456058672"/>
    <n v="2645.3815765787322"/>
    <n v="0.28038009131558828"/>
    <n v="0.26261347159652965"/>
  </r>
  <r>
    <x v="113"/>
    <n v="532.74090576171875"/>
    <n v="5460.47998046875"/>
    <n v="3.1950963446036852E-2"/>
    <n v="3.4669801283083251E-2"/>
    <n v="-2.7188378370463992E-3"/>
    <n v="3216.5713866658175"/>
    <n v="2737.0964301566464"/>
    <n v="0.24549009949449388"/>
    <n v="0.22696941030973261"/>
  </r>
  <r>
    <x v="114"/>
    <n v="540.931396484375"/>
    <n v="5522.2998046875"/>
    <n v="1.5374247845574007E-2"/>
    <n v="1.1321316887868735E-2"/>
    <n v="4.0529309577052725E-3"/>
    <n v="3266.0237523773994"/>
    <n v="2768.083966195104"/>
    <n v="0.22002294506866865"/>
    <n v="0.20338809919782427"/>
  </r>
  <r>
    <x v="115"/>
    <n v="553.5706787109375"/>
    <n v="5648.39990234375"/>
    <n v="2.3365776711627036E-2"/>
    <n v="2.2834706936630336E-2"/>
    <n v="5.3106977499670083E-4"/>
    <n v="3342.3369341103203"/>
    <n v="2831.2923523391546"/>
    <n v="0.2691562303590046"/>
    <n v="0.25306693640426325"/>
  </r>
  <r>
    <x v="116"/>
    <n v="563.4698486328125"/>
    <n v="5762.47998046875"/>
    <n v="1.788239569502945E-2"/>
    <n v="2.0196884090601226E-2"/>
    <n v="-2.3144883955717767E-3"/>
    <n v="3402.1059257121924"/>
    <n v="2888.4756358059544"/>
    <n v="0.36096504657513184"/>
    <n v="0.34384632710409996"/>
  </r>
  <r>
    <x v="117"/>
    <n v="560.1546630859375"/>
    <n v="5705.4501953125"/>
    <n v="-5.8835189760709887E-3"/>
    <n v="-9.8967433031517272E-3"/>
    <n v="4.0132243270807385E-3"/>
    <n v="3382.0895709396614"/>
    <n v="2859.8891339009751"/>
    <n v="0.37811933538769438"/>
    <n v="0.36044886762009859"/>
  </r>
  <r>
    <x v="118"/>
    <n v="593.55859375"/>
    <n v="6032.3798828125"/>
    <n v="5.9633406388224168E-2"/>
    <n v="5.7301295482098821E-2"/>
    <n v="2.3321109061253467E-3"/>
    <n v="3583.7750927648813"/>
    <n v="3023.7644862086786"/>
    <n v="0.33807626659805329"/>
    <n v="0.32063140696797621"/>
  </r>
  <r>
    <x v="119"/>
    <n v="577.33428955078125"/>
    <n v="5881.6298828125"/>
    <n v="-2.7333955518555324E-2"/>
    <n v="-2.4990137048483629E-2"/>
    <n v="-2.3438184700716944E-3"/>
    <n v="3485.8163437907397"/>
    <n v="2948.2001972959861"/>
    <n v="0.24972180643197403"/>
    <n v="0.23309002343424021"/>
  </r>
  <r>
    <x v="120"/>
    <n v="594.834716796875"/>
    <n v="6040.52978515625"/>
    <n v="3.0312468119138878E-2"/>
    <n v="2.7016304240444086E-2"/>
    <n v="3.2961638786947918E-3"/>
    <n v="3591.4800405810697"/>
    <n v="3027.8496707878717"/>
    <n v="0.26230056227182097"/>
    <n v="0.24658815781027824"/>
  </r>
  <r>
    <x v="121"/>
    <n v="587.283447265625"/>
    <n v="5954.5"/>
    <n v="-1.2694735727451863E-2"/>
    <n v="-1.4242092699825116E-2"/>
    <n v="1.5473569723732528E-3"/>
    <n v="3545.8871505954748"/>
    <n v="2984.7267550953757"/>
    <n v="0.18446254994500871"/>
    <n v="0.16840355341840563"/>
  </r>
  <r>
    <x v="122"/>
    <n v="552.897216796875"/>
    <n v="5611.85009765625"/>
    <n v="-5.8551336035182519E-2"/>
    <n v="-5.7544697681375427E-2"/>
    <n v="-1.0066383538070919E-3"/>
    <n v="3338.2707204981234"/>
    <n v="2812.9715563118998"/>
    <n v="8.3154171106488095E-2"/>
    <n v="6.8038861772736853E-2"/>
  </r>
  <r>
    <x v="123"/>
    <n v="549.7523193359375"/>
    <n v="5569.06005859375"/>
    <n v="-5.6880327218085487E-3"/>
    <n v="-7.6249433462898374E-3"/>
    <n v="1.9369106244812887E-3"/>
    <n v="3319.282527405675"/>
    <n v="2791.5228075602968"/>
    <n v="0.11876544496433378"/>
    <n v="0.10591798212233711"/>
  </r>
  <r>
    <x v="124"/>
    <n v="584.301513671875"/>
    <n v="5911.68994140625"/>
    <n v="6.2845017875814549E-2"/>
    <n v="6.1523826140782882E-2"/>
    <n v="1.3211917350316668E-3"/>
    <n v="3527.8828971753637"/>
    <n v="2963.2679714406668"/>
    <n v="0.13182694149332363"/>
    <n v="0.12016655656650327"/>
  </r>
  <r>
    <x v="125"/>
    <n v="612.51568603515625"/>
    <n v="6204.9501953125"/>
    <n v="4.8287008852633956E-2"/>
    <n v="4.960683946771579E-2"/>
    <n v="-1.3198306150818337E-3"/>
    <n v="3698.2338098623263"/>
    <n v="3110.266329999748"/>
    <n v="0.14974404895635834"/>
    <n v="0.13633787093929453"/>
  </r>
  <r>
    <x v="126"/>
    <n v="628.475341796875"/>
    <n v="6339.39013671875"/>
    <n v="2.6055913547335212E-2"/>
    <n v="2.1666562530640778E-2"/>
    <n v="4.3893510166944337E-3"/>
    <n v="3794.5946702899314"/>
    <n v="3177.655109925634"/>
    <n v="0.16183927551897745"/>
    <n v="0.14796196529164865"/>
  </r>
  <r>
    <x v="127"/>
    <n v="641.37139892578125"/>
    <n v="6460.259765625"/>
    <n v="2.0519591257208453E-2"/>
    <n v="1.9066444295036206E-2"/>
    <n v="1.453146962172247E-3"/>
    <n v="3872.4582019110626"/>
    <n v="3238.2416940678681"/>
    <n v="0.15860796749441161"/>
    <n v="0.14373271675477092"/>
  </r>
  <r>
    <x v="128"/>
    <n v="662.380859375"/>
    <n v="6688.4599609375"/>
    <n v="3.2757089705601199E-2"/>
    <n v="3.5323687218701598E-2"/>
    <n v="-2.5665975131003993E-3"/>
    <n v="3999.308662612254"/>
    <n v="3352.6283308076795"/>
    <n v="0.17553913662316167"/>
    <n v="0.16069122732005153"/>
  </r>
  <r>
    <x v="129"/>
    <n v="680.050537109375"/>
    <n v="6840.2001953125"/>
    <n v="2.6676008952081595E-2"/>
    <n v="2.2686871904923696E-2"/>
    <n v="3.9891370471578994E-3"/>
    <n v="4105.994256298236"/>
    <n v="3428.688980293532"/>
    <n v="0.21404066041853761"/>
    <n v="0.19888877497034171"/>
  </r>
  <r>
    <x v="130"/>
    <n v="681.3765869140625"/>
    <n v="6849.08984375"/>
    <n v="1.9499283249212794E-3"/>
    <n v="1.2996181666717825E-3"/>
    <n v="6.5031015824949692E-4"/>
    <n v="4114.0006508005563"/>
    <n v="3433.144966780189"/>
    <n v="0.1479516834374239"/>
    <n v="0.13538768724835712"/>
  </r>
  <r>
    <x v="131"/>
    <n v="679.910888671875"/>
    <n v="6845.5"/>
    <n v="-2.1510839531860208E-3"/>
    <n v="-5.2413442251394028E-4"/>
    <n v="-1.6269495306720804E-3"/>
    <n v="4105.1510900172225"/>
    <n v="3431.3455373256188"/>
    <n v="0.17767279889248863"/>
    <n v="0.16387806380067441"/>
  </r>
  <r>
    <x v="132"/>
    <n v="691.969970703125"/>
    <n v="6939.02978515625"/>
    <n v="1.7736268431891099E-2"/>
    <n v="1.3662958900920313E-2"/>
    <n v="4.0733095309707854E-3"/>
    <n v="4177.9611517032381"/>
    <n v="3478.2278703769548"/>
    <n v="0.16329788958740263"/>
    <n v="0.14874523128880798"/>
  </r>
  <r>
    <x v="133"/>
    <n v="689.42999267578125"/>
    <n v="6909.509765625"/>
    <n v="-3.6706477663515165E-3"/>
    <n v="-4.2541998586601085E-3"/>
    <n v="5.8355209230859196E-4"/>
    <n v="4162.6253279338353"/>
    <n v="3463.4307938624092"/>
    <n v="0.17393057115051966"/>
    <n v="0.160384543727433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22824-03F4-46B5-A27D-B38F3D93E6D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16" firstHeaderRow="0" firstDataRow="1" firstDataCol="1"/>
  <pivotFields count="13">
    <pivotField numFmtId="14" showAl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PY" fld="6" baseField="0" baseItem="0"/>
    <dataField name="S&amp;P 500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6442D-EBDA-4DFA-A8E5-12A372E9C5A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Q22:R35" firstHeaderRow="1" firstDataRow="1" firstDataCol="1"/>
  <pivotFields count="13">
    <pivotField numFmtId="14" showAl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showAll="0"/>
    <pivotField showAll="0"/>
    <pivotField numFmtId="10" showAll="0"/>
    <pivotField numFmtId="10" showAll="0"/>
    <pivotField dataField="1" numFmtId="10"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ctive_Return" fld="5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13389-2EE8-4080-8FB1-4CBE92733B2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E22:G157" firstHeaderRow="0" firstDataRow="1" firstDataCol="1"/>
  <pivotFields count="13">
    <pivotField axis="axisRow" numFmtId="14" showAl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showAll="0"/>
    <pivotField showAll="0"/>
    <pivotField numFmtId="10" showAll="0"/>
    <pivotField numFmtId="10" showAll="0"/>
    <pivotField numFmtId="10" showAll="0"/>
    <pivotField showAll="0"/>
    <pivotField showAll="0"/>
    <pivotField dataField="1"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1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 t="grand">
      <x/>
    </i>
  </rowItems>
  <colFields count="1">
    <field x="-2"/>
  </colFields>
  <colItems count="2">
    <i>
      <x/>
    </i>
    <i i="1">
      <x v="1"/>
    </i>
  </colItems>
  <dataFields count="2">
    <dataField name="SPY" fld="8" baseField="0" baseItem="0"/>
    <dataField name="S&amp;P500" fld="9" baseField="0" baseItem="0"/>
  </dataFields>
  <formats count="1">
    <format dxfId="5">
      <pivotArea collapsedLevelsAreSubtotals="1" fieldPosition="0">
        <references count="1">
          <reference field="0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82BAF-E3F4-40D7-B080-A3A4AD29515A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N3:P17" firstHeaderRow="0" firstDataRow="1" firstDataCol="1" rowPageCount="1" colPageCount="1"/>
  <pivotFields count="13">
    <pivotField axis="axisRow" numFmtId="14" showAl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Page" multipleItemSelectionAllowed="1" showAll="0" defaultSubtotal="0">
      <items count="14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sd="0" x="11"/>
        <item sd="0" x="12"/>
        <item h="1" sd="0" x="13"/>
      </items>
    </pivotField>
  </pivotFields>
  <rowFields count="1">
    <field x="0"/>
  </rowFields>
  <rowItems count="14"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</rowItems>
  <colFields count="1">
    <field x="-2"/>
  </colFields>
  <colItems count="2">
    <i>
      <x/>
    </i>
    <i i="1">
      <x v="1"/>
    </i>
  </colItems>
  <pageFields count="1">
    <pageField fld="12" hier="-1"/>
  </pageFields>
  <dataFields count="2">
    <dataField name="SPY" fld="3" baseField="0" baseItem="120"/>
    <dataField name="S&amp;P500" fld="4" baseField="0" baseItem="120"/>
  </dataFields>
  <formats count="2">
    <format dxfId="7">
      <pivotArea dataOnly="0" labelOnly="1" fieldPosition="0">
        <references count="1">
          <reference field="0" count="14"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</reference>
        </references>
      </pivotArea>
    </format>
    <format dxfId="6">
      <pivotArea collapsedLevelsAreSubtotals="1" fieldPosition="0">
        <references count="1">
          <reference field="0" count="14"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2C8097-CB57-433F-8823-00E8CAAB0A9D}" name="Table1" displayName="Table1" ref="C4:E138" totalsRowShown="0" headerRowDxfId="22">
  <tableColumns count="3">
    <tableColumn id="1" xr3:uid="{85DEF078-C19A-40F3-BD22-1C8A3F1E5A24}" name="Date" dataDxfId="21"/>
    <tableColumn id="2" xr3:uid="{6DD71C0C-DF37-450B-BDA4-F5DE3281685B}" name="Fund_Price"/>
    <tableColumn id="3" xr3:uid="{DB8345E7-0A9E-42C5-A0A3-C3686548789F}" name="Benchmark_Pric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4C614A-4C34-4A58-B311-89E8A0E9AC20}" name="General" displayName="General" ref="C4:O138" totalsRowShown="0">
  <tableColumns count="13">
    <tableColumn id="1" xr3:uid="{8555CA3B-7E4B-40E5-8D34-15A96F779EEB}" name="Date" dataDxfId="20"/>
    <tableColumn id="2" xr3:uid="{0219661E-EC1C-4A0F-B7DE-AB14AC3DFBF3}" name="Fund_Price"/>
    <tableColumn id="3" xr3:uid="{7A586600-A1FE-4533-89CD-CE7A2C1C6166}" name="Benchmark_Price"/>
    <tableColumn id="4" xr3:uid="{0963AEC7-BFB5-4958-AE84-2B120AF4BF64}" name="Fund_Return" dataDxfId="19">
      <calculatedColumnFormula>IFERROR((General[[#This Row],[Fund_Price]]-D4)/D4,0)</calculatedColumnFormula>
    </tableColumn>
    <tableColumn id="5" xr3:uid="{9732C1DC-7BC6-40D4-BD05-4FBBFA0D68DC}" name="Bench_Return" dataDxfId="18">
      <calculatedColumnFormula>IFERROR((General[[#This Row],[Benchmark_Price]]-E4)/E4,0)</calculatedColumnFormula>
    </tableColumn>
    <tableColumn id="6" xr3:uid="{8BEBA0B8-9FF1-4F14-989F-AEA8A4842F98}" name="Active_Return" dataDxfId="17">
      <calculatedColumnFormula>General[[#This Row],[Fund_Return]]-General[[#This Row],[Bench_Return]]</calculatedColumnFormula>
    </tableColumn>
    <tableColumn id="7" xr3:uid="{C4AC68C4-E959-4859-87AE-708F15F4FC03}" name="Fund_Growth" dataDxfId="16"/>
    <tableColumn id="8" xr3:uid="{9F0ADA7B-0B91-49D8-B908-D3B5094C158D}" name="Benchmark_Growth" dataDxfId="15"/>
    <tableColumn id="9" xr3:uid="{83D0324B-89D5-40E0-9F6C-010B1C13D78C}" name="Rolling_12M_Fund" dataDxfId="14"/>
    <tableColumn id="10" xr3:uid="{B7B19985-4309-47C9-BBA8-072CE27FA0B3}" name="Rolling_12M_Benchmark" dataDxfId="13"/>
    <tableColumn id="11" xr3:uid="{E032B51D-C0D4-47E8-B2C8-13EF2F296856}" name="Highest Val" dataDxfId="12"/>
    <tableColumn id="12" xr3:uid="{BC8EE2A7-98D3-4616-B9AC-A20888358999}" name="Drawdown" dataDxfId="11" dataCellStyle="Percent">
      <calculatedColumnFormula>(General[[#This Row],[Fund_Price]]-General[[#This Row],[Highest Val]])/General[[#This Row],[Highest Val]]</calculatedColumnFormula>
    </tableColumn>
    <tableColumn id="13" xr3:uid="{66A86CB4-8EAE-4D63-B473-8B334C6FE8E5}" name="Column1" dataDxfId="1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E2C3FE-B9B1-4F45-826E-34869219ACD6}" name="Table3" displayName="Table3" ref="C5:E12" totalsRowShown="0">
  <tableColumns count="3">
    <tableColumn id="1" xr3:uid="{CE979DC4-17AB-4F6F-BBF6-61F1FB18FB2C}" name="Metric"/>
    <tableColumn id="2" xr3:uid="{A1FCDA1B-7E42-42A7-BFB2-A226547A7ABB}" name="Fund" dataDxfId="9" dataCellStyle="Percent"/>
    <tableColumn id="3" xr3:uid="{12F45138-7BD7-4410-A4FB-C1DC1370F0F6}" name="Benchmark" dataDxfId="8" dataCellStyle="Percent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BA5C6A-0B9B-46A7-899A-97F441A62D98}" name="Table5" displayName="Table5" ref="S23:V35" totalsRowShown="0">
  <tableColumns count="4">
    <tableColumn id="1" xr3:uid="{644CC20A-2A5B-41A6-BE68-5BCD2A30CAE6}" name="Metric"/>
    <tableColumn id="2" xr3:uid="{EDD1660D-8CA8-40A6-A8D0-B08161164569}" name="SPY" dataDxfId="25" dataCellStyle="Percent"/>
    <tableColumn id="3" xr3:uid="{85AD1EDE-371F-4581-B84E-F9A2A37E3ED7}" name="S&amp;P 500" dataDxfId="24" dataCellStyle="Percent"/>
    <tableColumn id="5" xr3:uid="{712617A7-1503-4E03-9988-7C87584DB58B}" name="SPY vs S&amp;P 500" dataDxfId="23" dataCellStyle="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1F37-EF94-4D66-8F0C-F4E8637CCC5A}">
  <dimension ref="C4:E138"/>
  <sheetViews>
    <sheetView topLeftCell="A4" workbookViewId="0">
      <selection activeCell="C7" sqref="C7"/>
    </sheetView>
  </sheetViews>
  <sheetFormatPr defaultRowHeight="14.4" x14ac:dyDescent="0.3"/>
  <cols>
    <col min="3" max="3" width="18.109375" bestFit="1" customWidth="1"/>
    <col min="4" max="4" width="12.109375" customWidth="1"/>
    <col min="5" max="5" width="17.44140625" customWidth="1"/>
  </cols>
  <sheetData>
    <row r="4" spans="3:5" x14ac:dyDescent="0.3">
      <c r="C4" s="1" t="s">
        <v>0</v>
      </c>
      <c r="D4" s="1" t="s">
        <v>1</v>
      </c>
      <c r="E4" s="1" t="s">
        <v>2</v>
      </c>
    </row>
    <row r="5" spans="3:5" x14ac:dyDescent="0.3">
      <c r="C5" s="2">
        <v>42005</v>
      </c>
      <c r="D5">
        <v>165.62384033203119</v>
      </c>
      <c r="E5">
        <v>1994.989990234375</v>
      </c>
    </row>
    <row r="6" spans="3:5" x14ac:dyDescent="0.3">
      <c r="C6" s="2">
        <v>42036</v>
      </c>
      <c r="D6">
        <v>174.9325866699219</v>
      </c>
      <c r="E6">
        <v>2104.5</v>
      </c>
    </row>
    <row r="7" spans="3:5" x14ac:dyDescent="0.3">
      <c r="C7" s="2">
        <v>42064</v>
      </c>
      <c r="D7">
        <v>171.41996765136719</v>
      </c>
      <c r="E7">
        <v>2067.889892578125</v>
      </c>
    </row>
    <row r="8" spans="3:5" x14ac:dyDescent="0.3">
      <c r="C8" s="2">
        <v>42095</v>
      </c>
      <c r="D8">
        <v>173.87841796875</v>
      </c>
      <c r="E8">
        <v>2085.510009765625</v>
      </c>
    </row>
    <row r="9" spans="3:5" x14ac:dyDescent="0.3">
      <c r="C9" s="2">
        <v>42125</v>
      </c>
      <c r="D9">
        <v>176.1138610839844</v>
      </c>
      <c r="E9">
        <v>2107.389892578125</v>
      </c>
    </row>
    <row r="10" spans="3:5" x14ac:dyDescent="0.3">
      <c r="C10" s="2">
        <v>42156</v>
      </c>
      <c r="D10">
        <v>171.70140075683591</v>
      </c>
      <c r="E10">
        <v>2063.110107421875</v>
      </c>
    </row>
    <row r="11" spans="3:5" x14ac:dyDescent="0.3">
      <c r="C11" s="2">
        <v>42186</v>
      </c>
      <c r="D11">
        <v>176.4340515136719</v>
      </c>
      <c r="E11">
        <v>2103.840087890625</v>
      </c>
    </row>
    <row r="12" spans="3:5" x14ac:dyDescent="0.3">
      <c r="C12" s="2">
        <v>42217</v>
      </c>
      <c r="D12">
        <v>165.68037414550781</v>
      </c>
      <c r="E12">
        <v>1972.180053710938</v>
      </c>
    </row>
    <row r="13" spans="3:5" x14ac:dyDescent="0.3">
      <c r="C13" s="2">
        <v>42248</v>
      </c>
      <c r="D13">
        <v>160.61793518066409</v>
      </c>
      <c r="E13">
        <v>1920.030029296875</v>
      </c>
    </row>
    <row r="14" spans="3:5" x14ac:dyDescent="0.3">
      <c r="C14" s="2">
        <v>42278</v>
      </c>
      <c r="D14">
        <v>175.18605041503909</v>
      </c>
      <c r="E14">
        <v>2079.360107421875</v>
      </c>
    </row>
    <row r="15" spans="3:5" x14ac:dyDescent="0.3">
      <c r="C15" s="2">
        <v>42309</v>
      </c>
      <c r="D15">
        <v>175.82640075683591</v>
      </c>
      <c r="E15">
        <v>2080.409912109375</v>
      </c>
    </row>
    <row r="16" spans="3:5" x14ac:dyDescent="0.3">
      <c r="C16" s="2">
        <v>42339</v>
      </c>
      <c r="D16">
        <v>171.7654724121094</v>
      </c>
      <c r="E16">
        <v>2043.93994140625</v>
      </c>
    </row>
    <row r="17" spans="3:5" x14ac:dyDescent="0.3">
      <c r="C17" s="2">
        <v>42370</v>
      </c>
      <c r="D17">
        <v>164.1851501464844</v>
      </c>
      <c r="E17">
        <v>1940.239990234375</v>
      </c>
    </row>
    <row r="18" spans="3:5" x14ac:dyDescent="0.3">
      <c r="C18" s="2">
        <v>42401</v>
      </c>
      <c r="D18">
        <v>164.0495300292969</v>
      </c>
      <c r="E18">
        <v>1932.22998046875</v>
      </c>
    </row>
    <row r="19" spans="3:5" x14ac:dyDescent="0.3">
      <c r="C19" s="2">
        <v>42430</v>
      </c>
      <c r="D19">
        <v>174.18608093261719</v>
      </c>
      <c r="E19">
        <v>2059.739990234375</v>
      </c>
    </row>
    <row r="20" spans="3:5" x14ac:dyDescent="0.3">
      <c r="C20" s="2">
        <v>42461</v>
      </c>
      <c r="D20">
        <v>175.77452087402341</v>
      </c>
      <c r="E20">
        <v>2065.300048828125</v>
      </c>
    </row>
    <row r="21" spans="3:5" x14ac:dyDescent="0.3">
      <c r="C21" s="2">
        <v>42491</v>
      </c>
      <c r="D21">
        <v>178.76472473144531</v>
      </c>
      <c r="E21">
        <v>2096.949951171875</v>
      </c>
    </row>
    <row r="22" spans="3:5" x14ac:dyDescent="0.3">
      <c r="C22" s="2">
        <v>42522</v>
      </c>
      <c r="D22">
        <v>178.45802307128909</v>
      </c>
      <c r="E22">
        <v>2098.860107421875</v>
      </c>
    </row>
    <row r="23" spans="3:5" x14ac:dyDescent="0.3">
      <c r="C23" s="2">
        <v>42552</v>
      </c>
      <c r="D23">
        <v>185.92854309082031</v>
      </c>
      <c r="E23">
        <v>2173.60009765625</v>
      </c>
    </row>
    <row r="24" spans="3:5" x14ac:dyDescent="0.3">
      <c r="C24" s="2">
        <v>42583</v>
      </c>
      <c r="D24">
        <v>186.15116882324219</v>
      </c>
      <c r="E24">
        <v>2170.949951171875</v>
      </c>
    </row>
    <row r="25" spans="3:5" x14ac:dyDescent="0.3">
      <c r="C25" s="2">
        <v>42614</v>
      </c>
      <c r="D25">
        <v>185.2263488769531</v>
      </c>
      <c r="E25">
        <v>2168.27001953125</v>
      </c>
    </row>
    <row r="26" spans="3:5" x14ac:dyDescent="0.3">
      <c r="C26" s="2">
        <v>42644</v>
      </c>
      <c r="D26">
        <v>182.93450927734381</v>
      </c>
      <c r="E26">
        <v>2126.14990234375</v>
      </c>
    </row>
    <row r="27" spans="3:5" x14ac:dyDescent="0.3">
      <c r="C27" s="2">
        <v>42675</v>
      </c>
      <c r="D27">
        <v>189.6734619140625</v>
      </c>
      <c r="E27">
        <v>2198.81005859375</v>
      </c>
    </row>
    <row r="28" spans="3:5" x14ac:dyDescent="0.3">
      <c r="C28" s="2">
        <v>42705</v>
      </c>
      <c r="D28">
        <v>192.3846130371094</v>
      </c>
      <c r="E28">
        <v>2238.830078125</v>
      </c>
    </row>
    <row r="29" spans="3:5" x14ac:dyDescent="0.3">
      <c r="C29" s="2">
        <v>42736</v>
      </c>
      <c r="D29">
        <v>196.9814758300781</v>
      </c>
      <c r="E29">
        <v>2278.8701171875</v>
      </c>
    </row>
    <row r="30" spans="3:5" x14ac:dyDescent="0.3">
      <c r="C30" s="2">
        <v>42767</v>
      </c>
      <c r="D30">
        <v>204.72120666503909</v>
      </c>
      <c r="E30">
        <v>2363.639892578125</v>
      </c>
    </row>
    <row r="31" spans="3:5" x14ac:dyDescent="0.3">
      <c r="C31" s="2">
        <v>42795</v>
      </c>
      <c r="D31">
        <v>204.08915710449219</v>
      </c>
      <c r="E31">
        <v>2362.719970703125</v>
      </c>
    </row>
    <row r="32" spans="3:5" x14ac:dyDescent="0.3">
      <c r="C32" s="2">
        <v>42826</v>
      </c>
      <c r="D32">
        <v>207.01171875</v>
      </c>
      <c r="E32">
        <v>2384.199951171875</v>
      </c>
    </row>
    <row r="33" spans="3:5" x14ac:dyDescent="0.3">
      <c r="C33" s="2">
        <v>42856</v>
      </c>
      <c r="D33">
        <v>209.9332275390625</v>
      </c>
      <c r="E33">
        <v>2411.800048828125</v>
      </c>
    </row>
    <row r="34" spans="3:5" x14ac:dyDescent="0.3">
      <c r="C34" s="2">
        <v>42887</v>
      </c>
      <c r="D34">
        <v>210.24623107910159</v>
      </c>
      <c r="E34">
        <v>2423.409912109375</v>
      </c>
    </row>
    <row r="35" spans="3:5" x14ac:dyDescent="0.3">
      <c r="C35" s="2">
        <v>42917</v>
      </c>
      <c r="D35">
        <v>215.61405944824219</v>
      </c>
      <c r="E35">
        <v>2470.300048828125</v>
      </c>
    </row>
    <row r="36" spans="3:5" x14ac:dyDescent="0.3">
      <c r="C36" s="2">
        <v>42948</v>
      </c>
      <c r="D36">
        <v>216.2431945800781</v>
      </c>
      <c r="E36">
        <v>2471.64990234375</v>
      </c>
    </row>
    <row r="37" spans="3:5" x14ac:dyDescent="0.3">
      <c r="C37" s="2">
        <v>42979</v>
      </c>
      <c r="D37">
        <v>219.5109558105469</v>
      </c>
      <c r="E37">
        <v>2519.360107421875</v>
      </c>
    </row>
    <row r="38" spans="3:5" x14ac:dyDescent="0.3">
      <c r="C38" s="2">
        <v>43009</v>
      </c>
      <c r="D38">
        <v>225.79864501953119</v>
      </c>
      <c r="E38">
        <v>2575.260009765625</v>
      </c>
    </row>
    <row r="39" spans="3:5" x14ac:dyDescent="0.3">
      <c r="C39" s="2">
        <v>43040</v>
      </c>
      <c r="D39">
        <v>232.7003479003906</v>
      </c>
      <c r="E39">
        <v>2647.580078125</v>
      </c>
    </row>
    <row r="40" spans="3:5" x14ac:dyDescent="0.3">
      <c r="C40" s="2">
        <v>43070</v>
      </c>
      <c r="D40">
        <v>234.32475280761719</v>
      </c>
      <c r="E40">
        <v>2673.610107421875</v>
      </c>
    </row>
    <row r="41" spans="3:5" x14ac:dyDescent="0.3">
      <c r="C41" s="2">
        <v>43101</v>
      </c>
      <c r="D41">
        <v>248.7964172363281</v>
      </c>
      <c r="E41">
        <v>2823.81005859375</v>
      </c>
    </row>
    <row r="42" spans="3:5" x14ac:dyDescent="0.3">
      <c r="C42" s="2">
        <v>43132</v>
      </c>
      <c r="D42">
        <v>239.74998474121091</v>
      </c>
      <c r="E42">
        <v>2713.830078125</v>
      </c>
    </row>
    <row r="43" spans="3:5" x14ac:dyDescent="0.3">
      <c r="C43" s="2">
        <v>43160</v>
      </c>
      <c r="D43">
        <v>232.24821472167969</v>
      </c>
      <c r="E43">
        <v>2640.8701171875</v>
      </c>
    </row>
    <row r="44" spans="3:5" x14ac:dyDescent="0.3">
      <c r="C44" s="2">
        <v>43191</v>
      </c>
      <c r="D44">
        <v>234.38349914550781</v>
      </c>
      <c r="E44">
        <v>2648.050048828125</v>
      </c>
    </row>
    <row r="45" spans="3:5" x14ac:dyDescent="0.3">
      <c r="C45" s="2">
        <v>43221</v>
      </c>
      <c r="D45">
        <v>240.0810852050781</v>
      </c>
      <c r="E45">
        <v>2705.27001953125</v>
      </c>
    </row>
    <row r="46" spans="3:5" x14ac:dyDescent="0.3">
      <c r="C46" s="2">
        <v>43252</v>
      </c>
      <c r="D46">
        <v>240.38230895996091</v>
      </c>
      <c r="E46">
        <v>2718.3701171875</v>
      </c>
    </row>
    <row r="47" spans="3:5" x14ac:dyDescent="0.3">
      <c r="C47" s="2">
        <v>43282</v>
      </c>
      <c r="D47">
        <v>250.40718078613281</v>
      </c>
      <c r="E47">
        <v>2816.2900390625</v>
      </c>
    </row>
    <row r="48" spans="3:5" x14ac:dyDescent="0.3">
      <c r="C48" s="2">
        <v>43313</v>
      </c>
      <c r="D48">
        <v>258.40005493164063</v>
      </c>
      <c r="E48">
        <v>2901.52001953125</v>
      </c>
    </row>
    <row r="49" spans="3:5" x14ac:dyDescent="0.3">
      <c r="C49" s="2">
        <v>43344</v>
      </c>
      <c r="D49">
        <v>258.76504516601563</v>
      </c>
      <c r="E49">
        <v>2913.97998046875</v>
      </c>
    </row>
    <row r="50" spans="3:5" x14ac:dyDescent="0.3">
      <c r="C50" s="2">
        <v>43374</v>
      </c>
      <c r="D50">
        <v>241.97370910644531</v>
      </c>
      <c r="E50">
        <v>2711.739990234375</v>
      </c>
    </row>
    <row r="51" spans="3:5" x14ac:dyDescent="0.3">
      <c r="C51" s="2">
        <v>43405</v>
      </c>
      <c r="D51">
        <v>246.46211242675781</v>
      </c>
      <c r="E51">
        <v>2760.169921875</v>
      </c>
    </row>
    <row r="52" spans="3:5" x14ac:dyDescent="0.3">
      <c r="C52" s="2">
        <v>43435</v>
      </c>
      <c r="D52">
        <v>223.4565734863281</v>
      </c>
      <c r="E52">
        <v>2506.85009765625</v>
      </c>
    </row>
    <row r="53" spans="3:5" x14ac:dyDescent="0.3">
      <c r="C53" s="2">
        <v>43466</v>
      </c>
      <c r="D53">
        <v>242.75709533691409</v>
      </c>
      <c r="E53">
        <v>2704.10009765625</v>
      </c>
    </row>
    <row r="54" spans="3:5" x14ac:dyDescent="0.3">
      <c r="C54" s="2">
        <v>43497</v>
      </c>
      <c r="D54">
        <v>250.62635803222659</v>
      </c>
      <c r="E54">
        <v>2784.489990234375</v>
      </c>
    </row>
    <row r="55" spans="3:5" x14ac:dyDescent="0.3">
      <c r="C55" s="2">
        <v>43525</v>
      </c>
      <c r="D55">
        <v>254.04386901855469</v>
      </c>
      <c r="E55">
        <v>2834.39990234375</v>
      </c>
    </row>
    <row r="56" spans="3:5" x14ac:dyDescent="0.3">
      <c r="C56" s="2">
        <v>43556</v>
      </c>
      <c r="D56">
        <v>265.58682250976563</v>
      </c>
      <c r="E56">
        <v>2945.830078125</v>
      </c>
    </row>
    <row r="57" spans="3:5" x14ac:dyDescent="0.3">
      <c r="C57" s="2">
        <v>43586</v>
      </c>
      <c r="D57">
        <v>248.6499938964844</v>
      </c>
      <c r="E57">
        <v>2752.06005859375</v>
      </c>
    </row>
    <row r="58" spans="3:5" x14ac:dyDescent="0.3">
      <c r="C58" s="2">
        <v>43617</v>
      </c>
      <c r="D58">
        <v>264.66543579101563</v>
      </c>
      <c r="E58">
        <v>2941.760009765625</v>
      </c>
    </row>
    <row r="59" spans="3:5" x14ac:dyDescent="0.3">
      <c r="C59" s="2">
        <v>43647</v>
      </c>
      <c r="D59">
        <v>269.97372436523438</v>
      </c>
      <c r="E59">
        <v>2980.3798828125</v>
      </c>
    </row>
    <row r="60" spans="3:5" x14ac:dyDescent="0.3">
      <c r="C60" s="2">
        <v>43678</v>
      </c>
      <c r="D60">
        <v>265.4534912109375</v>
      </c>
      <c r="E60">
        <v>2926.4599609375</v>
      </c>
    </row>
    <row r="61" spans="3:5" x14ac:dyDescent="0.3">
      <c r="C61" s="2">
        <v>43709</v>
      </c>
      <c r="D61">
        <v>269.37472534179688</v>
      </c>
      <c r="E61">
        <v>2976.739990234375</v>
      </c>
    </row>
    <row r="62" spans="3:5" x14ac:dyDescent="0.3">
      <c r="C62" s="2">
        <v>43739</v>
      </c>
      <c r="D62">
        <v>276.6005859375</v>
      </c>
      <c r="E62">
        <v>3037.56005859375</v>
      </c>
    </row>
    <row r="63" spans="3:5" x14ac:dyDescent="0.3">
      <c r="C63" s="2">
        <v>43770</v>
      </c>
      <c r="D63">
        <v>286.61312866210938</v>
      </c>
      <c r="E63">
        <v>3140.97998046875</v>
      </c>
    </row>
    <row r="64" spans="3:5" x14ac:dyDescent="0.3">
      <c r="C64" s="2">
        <v>43800</v>
      </c>
      <c r="D64">
        <v>293.49777221679688</v>
      </c>
      <c r="E64">
        <v>3230.780029296875</v>
      </c>
    </row>
    <row r="65" spans="3:5" x14ac:dyDescent="0.3">
      <c r="C65" s="2">
        <v>43831</v>
      </c>
      <c r="D65">
        <v>294.8216552734375</v>
      </c>
      <c r="E65">
        <v>3225.52001953125</v>
      </c>
    </row>
    <row r="66" spans="3:5" x14ac:dyDescent="0.3">
      <c r="C66" s="2">
        <v>43862</v>
      </c>
      <c r="D66">
        <v>271.48187255859381</v>
      </c>
      <c r="E66">
        <v>2954.219970703125</v>
      </c>
    </row>
    <row r="67" spans="3:5" x14ac:dyDescent="0.3">
      <c r="C67" s="2">
        <v>43891</v>
      </c>
      <c r="D67">
        <v>236.19270324707031</v>
      </c>
      <c r="E67">
        <v>2584.590087890625</v>
      </c>
    </row>
    <row r="68" spans="3:5" x14ac:dyDescent="0.3">
      <c r="C68" s="2">
        <v>43922</v>
      </c>
      <c r="D68">
        <v>267.75045776367188</v>
      </c>
      <c r="E68">
        <v>2912.429931640625</v>
      </c>
    </row>
    <row r="69" spans="3:5" x14ac:dyDescent="0.3">
      <c r="C69" s="2">
        <v>43952</v>
      </c>
      <c r="D69">
        <v>280.507568359375</v>
      </c>
      <c r="E69">
        <v>3044.31005859375</v>
      </c>
    </row>
    <row r="70" spans="3:5" x14ac:dyDescent="0.3">
      <c r="C70" s="2">
        <v>43983</v>
      </c>
      <c r="D70">
        <v>284.23135375976563</v>
      </c>
      <c r="E70">
        <v>3100.2900390625</v>
      </c>
    </row>
    <row r="71" spans="3:5" x14ac:dyDescent="0.3">
      <c r="C71" s="2">
        <v>44013</v>
      </c>
      <c r="D71">
        <v>302.29483032226563</v>
      </c>
      <c r="E71">
        <v>3271.1201171875</v>
      </c>
    </row>
    <row r="72" spans="3:5" x14ac:dyDescent="0.3">
      <c r="C72" s="2">
        <v>44044</v>
      </c>
      <c r="D72">
        <v>323.39404296875</v>
      </c>
      <c r="E72">
        <v>3500.31005859375</v>
      </c>
    </row>
    <row r="73" spans="3:5" x14ac:dyDescent="0.3">
      <c r="C73" s="2">
        <v>44075</v>
      </c>
      <c r="D73">
        <v>310.04388427734381</v>
      </c>
      <c r="E73">
        <v>3363</v>
      </c>
    </row>
    <row r="74" spans="3:5" x14ac:dyDescent="0.3">
      <c r="C74" s="2">
        <v>44105</v>
      </c>
      <c r="D74">
        <v>303.52349853515619</v>
      </c>
      <c r="E74">
        <v>3269.9599609375</v>
      </c>
    </row>
    <row r="75" spans="3:5" x14ac:dyDescent="0.3">
      <c r="C75" s="2">
        <v>44136</v>
      </c>
      <c r="D75">
        <v>336.53982543945313</v>
      </c>
      <c r="E75">
        <v>3621.6298828125</v>
      </c>
    </row>
    <row r="76" spans="3:5" x14ac:dyDescent="0.3">
      <c r="C76" s="2">
        <v>44166</v>
      </c>
      <c r="D76">
        <v>347.52670288085938</v>
      </c>
      <c r="E76">
        <v>3756.070068359375</v>
      </c>
    </row>
    <row r="77" spans="3:5" x14ac:dyDescent="0.3">
      <c r="C77" s="2">
        <v>44197</v>
      </c>
      <c r="D77">
        <v>345.45159912109381</v>
      </c>
      <c r="E77">
        <v>3714.239990234375</v>
      </c>
    </row>
    <row r="78" spans="3:5" x14ac:dyDescent="0.3">
      <c r="C78" s="2">
        <v>44228</v>
      </c>
      <c r="D78">
        <v>355.05709838867188</v>
      </c>
      <c r="E78">
        <v>3811.14990234375</v>
      </c>
    </row>
    <row r="79" spans="3:5" x14ac:dyDescent="0.3">
      <c r="C79" s="2">
        <v>44256</v>
      </c>
      <c r="D79">
        <v>369.9647216796875</v>
      </c>
      <c r="E79">
        <v>3972.889892578125</v>
      </c>
    </row>
    <row r="80" spans="3:5" x14ac:dyDescent="0.3">
      <c r="C80" s="2">
        <v>44287</v>
      </c>
      <c r="D80">
        <v>390.81546020507813</v>
      </c>
      <c r="E80">
        <v>4181.169921875</v>
      </c>
    </row>
    <row r="81" spans="3:5" x14ac:dyDescent="0.3">
      <c r="C81" s="2">
        <v>44317</v>
      </c>
      <c r="D81">
        <v>393.38156127929688</v>
      </c>
      <c r="E81">
        <v>4204.10986328125</v>
      </c>
    </row>
    <row r="82" spans="3:5" x14ac:dyDescent="0.3">
      <c r="C82" s="2">
        <v>44348</v>
      </c>
      <c r="D82">
        <v>400.892578125</v>
      </c>
      <c r="E82">
        <v>4297.5</v>
      </c>
    </row>
    <row r="83" spans="3:5" x14ac:dyDescent="0.3">
      <c r="C83" s="2">
        <v>44378</v>
      </c>
      <c r="D83">
        <v>412.02301025390619</v>
      </c>
      <c r="E83">
        <v>4395.259765625</v>
      </c>
    </row>
    <row r="84" spans="3:5" x14ac:dyDescent="0.3">
      <c r="C84" s="2">
        <v>44409</v>
      </c>
      <c r="D84">
        <v>424.28472900390619</v>
      </c>
      <c r="E84">
        <v>4522.68017578125</v>
      </c>
    </row>
    <row r="85" spans="3:5" x14ac:dyDescent="0.3">
      <c r="C85" s="2">
        <v>44440</v>
      </c>
      <c r="D85">
        <v>403.2188720703125</v>
      </c>
      <c r="E85">
        <v>4307.5400390625</v>
      </c>
    </row>
    <row r="86" spans="3:5" x14ac:dyDescent="0.3">
      <c r="C86" s="2">
        <v>44470</v>
      </c>
      <c r="D86">
        <v>432.89266967773438</v>
      </c>
      <c r="E86">
        <v>4605.3798828125</v>
      </c>
    </row>
    <row r="87" spans="3:5" x14ac:dyDescent="0.3">
      <c r="C87" s="2">
        <v>44501</v>
      </c>
      <c r="D87">
        <v>429.41439819335938</v>
      </c>
      <c r="E87">
        <v>4567</v>
      </c>
    </row>
    <row r="88" spans="3:5" x14ac:dyDescent="0.3">
      <c r="C88" s="2">
        <v>44531</v>
      </c>
      <c r="D88">
        <v>447.70101928710938</v>
      </c>
      <c r="E88">
        <v>4766.18017578125</v>
      </c>
    </row>
    <row r="89" spans="3:5" x14ac:dyDescent="0.3">
      <c r="C89" s="2">
        <v>44562</v>
      </c>
      <c r="D89">
        <v>425.57864379882813</v>
      </c>
      <c r="E89">
        <v>4515.5498046875</v>
      </c>
    </row>
    <row r="90" spans="3:5" x14ac:dyDescent="0.3">
      <c r="C90" s="2">
        <v>44593</v>
      </c>
      <c r="D90">
        <v>413.01681518554688</v>
      </c>
      <c r="E90">
        <v>4373.93994140625</v>
      </c>
    </row>
    <row r="91" spans="3:5" x14ac:dyDescent="0.3">
      <c r="C91" s="2">
        <v>44621</v>
      </c>
      <c r="D91">
        <v>427.21505737304688</v>
      </c>
      <c r="E91">
        <v>4530.41015625</v>
      </c>
    </row>
    <row r="92" spans="3:5" x14ac:dyDescent="0.3">
      <c r="C92" s="2">
        <v>44652</v>
      </c>
      <c r="D92">
        <v>390.92950439453119</v>
      </c>
      <c r="E92">
        <v>4131.93017578125</v>
      </c>
    </row>
    <row r="93" spans="3:5" x14ac:dyDescent="0.3">
      <c r="C93" s="2">
        <v>44682</v>
      </c>
      <c r="D93">
        <v>391.81198120117188</v>
      </c>
      <c r="E93">
        <v>4132.14990234375</v>
      </c>
    </row>
    <row r="94" spans="3:5" x14ac:dyDescent="0.3">
      <c r="C94" s="2">
        <v>44713</v>
      </c>
      <c r="D94">
        <v>357.95672607421881</v>
      </c>
      <c r="E94">
        <v>3785.3798828125</v>
      </c>
    </row>
    <row r="95" spans="3:5" x14ac:dyDescent="0.3">
      <c r="C95" s="2">
        <v>44743</v>
      </c>
      <c r="D95">
        <v>392.60867309570313</v>
      </c>
      <c r="E95">
        <v>4130.2900390625</v>
      </c>
    </row>
    <row r="96" spans="3:5" x14ac:dyDescent="0.3">
      <c r="C96" s="2">
        <v>44774</v>
      </c>
      <c r="D96">
        <v>376.58944702148438</v>
      </c>
      <c r="E96">
        <v>3955</v>
      </c>
    </row>
    <row r="97" spans="3:5" x14ac:dyDescent="0.3">
      <c r="C97" s="2">
        <v>44805</v>
      </c>
      <c r="D97">
        <v>340.37713623046881</v>
      </c>
      <c r="E97">
        <v>3585.6201171875</v>
      </c>
    </row>
    <row r="98" spans="3:5" x14ac:dyDescent="0.3">
      <c r="C98" s="2">
        <v>44835</v>
      </c>
      <c r="D98">
        <v>369.55331420898438</v>
      </c>
      <c r="E98">
        <v>3871.97998046875</v>
      </c>
    </row>
    <row r="99" spans="3:5" x14ac:dyDescent="0.3">
      <c r="C99" s="2">
        <v>44866</v>
      </c>
      <c r="D99">
        <v>390.09735107421881</v>
      </c>
      <c r="E99">
        <v>4080.110107421875</v>
      </c>
    </row>
    <row r="100" spans="3:5" x14ac:dyDescent="0.3">
      <c r="C100" s="2">
        <v>44896</v>
      </c>
      <c r="D100">
        <v>365.93634033203119</v>
      </c>
      <c r="E100">
        <v>3839.5</v>
      </c>
    </row>
    <row r="101" spans="3:5" x14ac:dyDescent="0.3">
      <c r="C101" s="2">
        <v>44927</v>
      </c>
      <c r="D101">
        <v>390.735107421875</v>
      </c>
      <c r="E101">
        <v>4076.60009765625</v>
      </c>
    </row>
    <row r="102" spans="3:5" x14ac:dyDescent="0.3">
      <c r="C102" s="2">
        <v>44958</v>
      </c>
      <c r="D102">
        <v>380.91110229492188</v>
      </c>
      <c r="E102">
        <v>3970.14990234375</v>
      </c>
    </row>
    <row r="103" spans="3:5" x14ac:dyDescent="0.3">
      <c r="C103" s="2">
        <v>44986</v>
      </c>
      <c r="D103">
        <v>393.53240966796881</v>
      </c>
      <c r="E103">
        <v>4109.31005859375</v>
      </c>
    </row>
    <row r="104" spans="3:5" x14ac:dyDescent="0.3">
      <c r="C104" s="2">
        <v>45017</v>
      </c>
      <c r="D104">
        <v>401.34503173828119</v>
      </c>
      <c r="E104">
        <v>4169.47998046875</v>
      </c>
    </row>
    <row r="105" spans="3:5" x14ac:dyDescent="0.3">
      <c r="C105" s="2">
        <v>45047</v>
      </c>
      <c r="D105">
        <v>403.19772338867188</v>
      </c>
      <c r="E105">
        <v>4179.830078125</v>
      </c>
    </row>
    <row r="106" spans="3:5" x14ac:dyDescent="0.3">
      <c r="C106" s="2">
        <v>45078</v>
      </c>
      <c r="D106">
        <v>427.7359619140625</v>
      </c>
      <c r="E106">
        <v>4450.3798828125</v>
      </c>
    </row>
    <row r="107" spans="3:5" x14ac:dyDescent="0.3">
      <c r="C107" s="2">
        <v>45108</v>
      </c>
      <c r="D107">
        <v>443.3780517578125</v>
      </c>
      <c r="E107">
        <v>4588.9599609375</v>
      </c>
    </row>
    <row r="108" spans="3:5" x14ac:dyDescent="0.3">
      <c r="C108" s="2">
        <v>45139</v>
      </c>
      <c r="D108">
        <v>436.17221069335938</v>
      </c>
      <c r="E108">
        <v>4507.66015625</v>
      </c>
    </row>
    <row r="109" spans="3:5" x14ac:dyDescent="0.3">
      <c r="C109" s="2">
        <v>45170</v>
      </c>
      <c r="D109">
        <v>414.02227783203119</v>
      </c>
      <c r="E109">
        <v>4288.0498046875</v>
      </c>
    </row>
    <row r="110" spans="3:5" x14ac:dyDescent="0.3">
      <c r="C110" s="2">
        <v>45200</v>
      </c>
      <c r="D110">
        <v>406.46310424804688</v>
      </c>
      <c r="E110">
        <v>4193.7998046875</v>
      </c>
    </row>
    <row r="111" spans="3:5" x14ac:dyDescent="0.3">
      <c r="C111" s="2">
        <v>45231</v>
      </c>
      <c r="D111">
        <v>443.59100341796881</v>
      </c>
      <c r="E111">
        <v>4567.7998046875</v>
      </c>
    </row>
    <row r="112" spans="3:5" x14ac:dyDescent="0.3">
      <c r="C112" s="2">
        <v>45261</v>
      </c>
      <c r="D112">
        <v>461.97024536132813</v>
      </c>
      <c r="E112">
        <v>4769.830078125</v>
      </c>
    </row>
    <row r="113" spans="3:5" x14ac:dyDescent="0.3">
      <c r="C113" s="2">
        <v>45292</v>
      </c>
      <c r="D113">
        <v>471.23065185546881</v>
      </c>
      <c r="E113">
        <v>4845.64990234375</v>
      </c>
    </row>
    <row r="114" spans="3:5" x14ac:dyDescent="0.3">
      <c r="C114" s="2">
        <v>45323</v>
      </c>
      <c r="D114">
        <v>495.82272338867188</v>
      </c>
      <c r="E114">
        <v>5096.27001953125</v>
      </c>
    </row>
    <row r="115" spans="3:5" x14ac:dyDescent="0.3">
      <c r="C115" s="2">
        <v>45352</v>
      </c>
      <c r="D115">
        <v>510.45108032226563</v>
      </c>
      <c r="E115">
        <v>5254.35009765625</v>
      </c>
    </row>
    <row r="116" spans="3:5" x14ac:dyDescent="0.3">
      <c r="C116" s="2">
        <v>45383</v>
      </c>
      <c r="D116">
        <v>491.39193725585938</v>
      </c>
      <c r="E116">
        <v>5035.68994140625</v>
      </c>
    </row>
    <row r="117" spans="3:5" x14ac:dyDescent="0.3">
      <c r="C117" s="2">
        <v>45413</v>
      </c>
      <c r="D117">
        <v>516.246337890625</v>
      </c>
      <c r="E117">
        <v>5277.509765625</v>
      </c>
    </row>
    <row r="118" spans="3:5" x14ac:dyDescent="0.3">
      <c r="C118" s="2">
        <v>45444</v>
      </c>
      <c r="D118">
        <v>532.74090576171875</v>
      </c>
      <c r="E118">
        <v>5460.47998046875</v>
      </c>
    </row>
    <row r="119" spans="3:5" x14ac:dyDescent="0.3">
      <c r="C119" s="2">
        <v>45474</v>
      </c>
      <c r="D119">
        <v>540.931396484375</v>
      </c>
      <c r="E119">
        <v>5522.2998046875</v>
      </c>
    </row>
    <row r="120" spans="3:5" x14ac:dyDescent="0.3">
      <c r="C120" s="2">
        <v>45505</v>
      </c>
      <c r="D120">
        <v>553.5706787109375</v>
      </c>
      <c r="E120">
        <v>5648.39990234375</v>
      </c>
    </row>
    <row r="121" spans="3:5" x14ac:dyDescent="0.3">
      <c r="C121" s="2">
        <v>45536</v>
      </c>
      <c r="D121">
        <v>563.4698486328125</v>
      </c>
      <c r="E121">
        <v>5762.47998046875</v>
      </c>
    </row>
    <row r="122" spans="3:5" x14ac:dyDescent="0.3">
      <c r="C122" s="2">
        <v>45566</v>
      </c>
      <c r="D122">
        <v>560.1546630859375</v>
      </c>
      <c r="E122">
        <v>5705.4501953125</v>
      </c>
    </row>
    <row r="123" spans="3:5" x14ac:dyDescent="0.3">
      <c r="C123" s="2">
        <v>45597</v>
      </c>
      <c r="D123">
        <v>593.55859375</v>
      </c>
      <c r="E123">
        <v>6032.3798828125</v>
      </c>
    </row>
    <row r="124" spans="3:5" x14ac:dyDescent="0.3">
      <c r="C124" s="2">
        <v>45627</v>
      </c>
      <c r="D124">
        <v>577.33428955078125</v>
      </c>
      <c r="E124">
        <v>5881.6298828125</v>
      </c>
    </row>
    <row r="125" spans="3:5" x14ac:dyDescent="0.3">
      <c r="C125" s="2">
        <v>45658</v>
      </c>
      <c r="D125">
        <v>594.834716796875</v>
      </c>
      <c r="E125">
        <v>6040.52978515625</v>
      </c>
    </row>
    <row r="126" spans="3:5" x14ac:dyDescent="0.3">
      <c r="C126" s="2">
        <v>45689</v>
      </c>
      <c r="D126">
        <v>587.283447265625</v>
      </c>
      <c r="E126">
        <v>5954.5</v>
      </c>
    </row>
    <row r="127" spans="3:5" x14ac:dyDescent="0.3">
      <c r="C127" s="2">
        <v>45717</v>
      </c>
      <c r="D127">
        <v>552.897216796875</v>
      </c>
      <c r="E127">
        <v>5611.85009765625</v>
      </c>
    </row>
    <row r="128" spans="3:5" x14ac:dyDescent="0.3">
      <c r="C128" s="2">
        <v>45748</v>
      </c>
      <c r="D128">
        <v>549.7523193359375</v>
      </c>
      <c r="E128">
        <v>5569.06005859375</v>
      </c>
    </row>
    <row r="129" spans="3:5" x14ac:dyDescent="0.3">
      <c r="C129" s="2">
        <v>45778</v>
      </c>
      <c r="D129">
        <v>584.301513671875</v>
      </c>
      <c r="E129">
        <v>5911.68994140625</v>
      </c>
    </row>
    <row r="130" spans="3:5" x14ac:dyDescent="0.3">
      <c r="C130" s="2">
        <v>45809</v>
      </c>
      <c r="D130">
        <v>612.51568603515625</v>
      </c>
      <c r="E130">
        <v>6204.9501953125</v>
      </c>
    </row>
    <row r="131" spans="3:5" x14ac:dyDescent="0.3">
      <c r="C131" s="2">
        <v>45839</v>
      </c>
      <c r="D131">
        <v>628.475341796875</v>
      </c>
      <c r="E131">
        <v>6339.39013671875</v>
      </c>
    </row>
    <row r="132" spans="3:5" x14ac:dyDescent="0.3">
      <c r="C132" s="2">
        <v>45870</v>
      </c>
      <c r="D132">
        <v>641.37139892578125</v>
      </c>
      <c r="E132">
        <v>6460.259765625</v>
      </c>
    </row>
    <row r="133" spans="3:5" x14ac:dyDescent="0.3">
      <c r="C133" s="2">
        <v>45901</v>
      </c>
      <c r="D133">
        <v>662.380859375</v>
      </c>
      <c r="E133">
        <v>6688.4599609375</v>
      </c>
    </row>
    <row r="134" spans="3:5" x14ac:dyDescent="0.3">
      <c r="C134" s="2">
        <v>45931</v>
      </c>
      <c r="D134">
        <v>680.050537109375</v>
      </c>
      <c r="E134">
        <v>6840.2001953125</v>
      </c>
    </row>
    <row r="135" spans="3:5" x14ac:dyDescent="0.3">
      <c r="C135" s="2">
        <v>45962</v>
      </c>
      <c r="D135">
        <v>681.3765869140625</v>
      </c>
      <c r="E135">
        <v>6849.08984375</v>
      </c>
    </row>
    <row r="136" spans="3:5" x14ac:dyDescent="0.3">
      <c r="C136" s="2">
        <v>45992</v>
      </c>
      <c r="D136">
        <v>679.910888671875</v>
      </c>
      <c r="E136">
        <v>6845.5</v>
      </c>
    </row>
    <row r="137" spans="3:5" x14ac:dyDescent="0.3">
      <c r="C137" s="2">
        <v>46023</v>
      </c>
      <c r="D137">
        <v>691.969970703125</v>
      </c>
      <c r="E137">
        <v>6939.02978515625</v>
      </c>
    </row>
    <row r="138" spans="3:5" x14ac:dyDescent="0.3">
      <c r="C138" s="2">
        <v>46054</v>
      </c>
      <c r="D138">
        <v>689.42999267578125</v>
      </c>
      <c r="E138">
        <v>6909.509765625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B80D1-42F4-4F1A-AAEB-D13FE27931D3}">
  <dimension ref="C4:P138"/>
  <sheetViews>
    <sheetView workbookViewId="0">
      <selection activeCell="C5" sqref="C5"/>
    </sheetView>
  </sheetViews>
  <sheetFormatPr defaultRowHeight="14.4" x14ac:dyDescent="0.3"/>
  <cols>
    <col min="3" max="3" width="9.33203125" bestFit="1" customWidth="1"/>
    <col min="4" max="4" width="12.109375" customWidth="1"/>
    <col min="5" max="5" width="17.44140625" customWidth="1"/>
    <col min="6" max="6" width="11.33203125" bestFit="1" customWidth="1"/>
    <col min="7" max="7" width="12.33203125" bestFit="1" customWidth="1"/>
    <col min="8" max="8" width="12.44140625" bestFit="1" customWidth="1"/>
    <col min="9" max="9" width="11.88671875" bestFit="1" customWidth="1"/>
    <col min="10" max="10" width="17.44140625" bestFit="1" customWidth="1"/>
    <col min="11" max="11" width="15.88671875" bestFit="1" customWidth="1"/>
    <col min="12" max="12" width="21.44140625" bestFit="1" customWidth="1"/>
    <col min="13" max="13" width="12" bestFit="1" customWidth="1"/>
  </cols>
  <sheetData>
    <row r="4" spans="3:16" x14ac:dyDescent="0.3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33</v>
      </c>
      <c r="N4" t="s">
        <v>34</v>
      </c>
      <c r="O4" t="s">
        <v>32</v>
      </c>
    </row>
    <row r="5" spans="3:16" x14ac:dyDescent="0.3">
      <c r="C5" s="3">
        <v>42005</v>
      </c>
      <c r="D5">
        <v>165.62384033203119</v>
      </c>
      <c r="E5">
        <v>1994.989990234375</v>
      </c>
      <c r="F5" s="6">
        <f>IFERROR((General[[#This Row],[Fund_Price]]-D4)/D4,0)</f>
        <v>0</v>
      </c>
      <c r="G5" s="6">
        <f>IFERROR((General[[#This Row],[Benchmark_Price]]-E4)/E4,0)</f>
        <v>0</v>
      </c>
      <c r="H5" s="6">
        <f>General[[#This Row],[Fund_Return]]-General[[#This Row],[Bench_Return]]</f>
        <v>0</v>
      </c>
      <c r="I5">
        <f>1000</f>
        <v>1000</v>
      </c>
      <c r="J5">
        <v>1000</v>
      </c>
      <c r="M5">
        <f>General[[#This Row],[Fund_Price]]</f>
        <v>165.62384033203119</v>
      </c>
      <c r="N5" s="9">
        <f>(General[[#This Row],[Fund_Price]]-General[[#This Row],[Highest Val]])/General[[#This Row],[Highest Val]]</f>
        <v>0</v>
      </c>
      <c r="O5" s="9">
        <f>MIN(General[Drawdown])</f>
        <v>-0.23972222182459244</v>
      </c>
    </row>
    <row r="6" spans="3:16" x14ac:dyDescent="0.3">
      <c r="C6" s="3">
        <v>42036</v>
      </c>
      <c r="D6">
        <v>174.9325866699219</v>
      </c>
      <c r="E6">
        <v>2104.5</v>
      </c>
      <c r="F6" s="6">
        <f>IFERROR((General[[#This Row],[Fund_Price]]-D5)/D5,0)</f>
        <v>5.6204145002489866E-2</v>
      </c>
      <c r="G6" s="6">
        <f>IFERROR((General[[#This Row],[Benchmark_Price]]-E5)/E5,0)</f>
        <v>5.4892510890623351E-2</v>
      </c>
      <c r="H6" s="6">
        <f>General[[#This Row],[Fund_Return]]-General[[#This Row],[Bench_Return]]</f>
        <v>1.3116341118665151E-3</v>
      </c>
      <c r="I6">
        <f>I5*(1+General[[#This Row],[Fund_Return]])</f>
        <v>1056.2041450024899</v>
      </c>
      <c r="J6">
        <f>J5*(1+General[[#This Row],[Bench_Return]])</f>
        <v>1054.8925108906233</v>
      </c>
      <c r="M6">
        <f>MAX(M5,General[[#This Row],[Fund_Price]])</f>
        <v>174.9325866699219</v>
      </c>
      <c r="N6" s="9">
        <f>(General[[#This Row],[Fund_Price]]-General[[#This Row],[Highest Val]])/General[[#This Row],[Highest Val]]</f>
        <v>0</v>
      </c>
    </row>
    <row r="7" spans="3:16" x14ac:dyDescent="0.3">
      <c r="C7" s="3">
        <v>42064</v>
      </c>
      <c r="D7">
        <v>171.41996765136719</v>
      </c>
      <c r="E7">
        <v>2067.889892578125</v>
      </c>
      <c r="F7" s="6">
        <f>IFERROR((General[[#This Row],[Fund_Price]]-D6)/D6,0)</f>
        <v>-2.0079843815392913E-2</v>
      </c>
      <c r="G7" s="6">
        <f>IFERROR((General[[#This Row],[Benchmark_Price]]-E6)/E6,0)</f>
        <v>-1.7396107114219531E-2</v>
      </c>
      <c r="H7" s="6">
        <f>General[[#This Row],[Fund_Return]]-General[[#This Row],[Bench_Return]]</f>
        <v>-2.6837367011733823E-3</v>
      </c>
      <c r="I7">
        <f>I6*(1+General[[#This Row],[Fund_Return]])</f>
        <v>1034.9957307336692</v>
      </c>
      <c r="J7">
        <f>J6*(1+General[[#This Row],[Bench_Return]])</f>
        <v>1036.5414877771821</v>
      </c>
      <c r="M7">
        <f>MAX(M6,General[[#This Row],[Fund_Price]])</f>
        <v>174.9325866699219</v>
      </c>
      <c r="N7" s="9">
        <f>(General[[#This Row],[Fund_Price]]-General[[#This Row],[Highest Val]])/General[[#This Row],[Highest Val]]</f>
        <v>-2.0079843815392913E-2</v>
      </c>
    </row>
    <row r="8" spans="3:16" x14ac:dyDescent="0.3">
      <c r="C8" s="3">
        <v>42095</v>
      </c>
      <c r="D8">
        <v>173.87841796875</v>
      </c>
      <c r="E8">
        <v>2085.510009765625</v>
      </c>
      <c r="F8" s="6">
        <f>IFERROR((General[[#This Row],[Fund_Price]]-D7)/D7,0)</f>
        <v>1.434167997501197E-2</v>
      </c>
      <c r="G8" s="6">
        <f>IFERROR((General[[#This Row],[Benchmark_Price]]-E7)/E7,0)</f>
        <v>8.520819822535261E-3</v>
      </c>
      <c r="H8" s="6">
        <f>General[[#This Row],[Fund_Return]]-General[[#This Row],[Bench_Return]]</f>
        <v>5.820860152476709E-3</v>
      </c>
      <c r="I8">
        <f>I7*(1+General[[#This Row],[Fund_Return]])</f>
        <v>1049.8393082793552</v>
      </c>
      <c r="J8">
        <f>J7*(1+General[[#This Row],[Bench_Return]])</f>
        <v>1045.3736710331141</v>
      </c>
      <c r="M8">
        <f>MAX(M7,General[[#This Row],[Fund_Price]])</f>
        <v>174.9325866699219</v>
      </c>
      <c r="N8" s="9">
        <f>(General[[#This Row],[Fund_Price]]-General[[#This Row],[Highest Val]])/General[[#This Row],[Highest Val]]</f>
        <v>-6.0261425343295302E-3</v>
      </c>
      <c r="P8" s="9"/>
    </row>
    <row r="9" spans="3:16" x14ac:dyDescent="0.3">
      <c r="C9" s="3">
        <v>42125</v>
      </c>
      <c r="D9">
        <v>176.1138610839844</v>
      </c>
      <c r="E9">
        <v>2107.389892578125</v>
      </c>
      <c r="F9" s="6">
        <f>IFERROR((General[[#This Row],[Fund_Price]]-D8)/D8,0)</f>
        <v>1.2856357570703022E-2</v>
      </c>
      <c r="G9" s="6">
        <f>IFERROR((General[[#This Row],[Benchmark_Price]]-E8)/E8,0)</f>
        <v>1.049138230458981E-2</v>
      </c>
      <c r="H9" s="6">
        <f>General[[#This Row],[Fund_Return]]-General[[#This Row],[Bench_Return]]</f>
        <v>2.3649752661132114E-3</v>
      </c>
      <c r="I9">
        <f>I8*(1+General[[#This Row],[Fund_Return]])</f>
        <v>1063.3364178183742</v>
      </c>
      <c r="J9">
        <f>J8*(1+General[[#This Row],[Bench_Return]])</f>
        <v>1056.341085867075</v>
      </c>
      <c r="M9">
        <f>MAX(M8,General[[#This Row],[Fund_Price]])</f>
        <v>176.1138610839844</v>
      </c>
      <c r="N9" s="9">
        <f>(General[[#This Row],[Fund_Price]]-General[[#This Row],[Highest Val]])/General[[#This Row],[Highest Val]]</f>
        <v>0</v>
      </c>
    </row>
    <row r="10" spans="3:16" x14ac:dyDescent="0.3">
      <c r="C10" s="3">
        <v>42156</v>
      </c>
      <c r="D10">
        <v>171.70140075683591</v>
      </c>
      <c r="E10">
        <v>2063.110107421875</v>
      </c>
      <c r="F10" s="6">
        <f>IFERROR((General[[#This Row],[Fund_Price]]-D9)/D9,0)</f>
        <v>-2.5054588548508967E-2</v>
      </c>
      <c r="G10" s="6">
        <f>IFERROR((General[[#This Row],[Benchmark_Price]]-E9)/E9,0)</f>
        <v>-2.1011671979729998E-2</v>
      </c>
      <c r="H10" s="6">
        <f>General[[#This Row],[Fund_Return]]-General[[#This Row],[Bench_Return]]</f>
        <v>-4.0429165687789689E-3</v>
      </c>
      <c r="I10">
        <f>I9*(1+General[[#This Row],[Fund_Return]])</f>
        <v>1036.6949613812894</v>
      </c>
      <c r="J10">
        <f>J9*(1+General[[#This Row],[Bench_Return]])</f>
        <v>1034.1455934721241</v>
      </c>
      <c r="M10">
        <f>MAX(M9,General[[#This Row],[Fund_Price]])</f>
        <v>176.1138610839844</v>
      </c>
      <c r="N10" s="9">
        <f>(General[[#This Row],[Fund_Price]]-General[[#This Row],[Highest Val]])/General[[#This Row],[Highest Val]]</f>
        <v>-2.5054588548508967E-2</v>
      </c>
    </row>
    <row r="11" spans="3:16" x14ac:dyDescent="0.3">
      <c r="C11" s="3">
        <v>42186</v>
      </c>
      <c r="D11">
        <v>176.4340515136719</v>
      </c>
      <c r="E11">
        <v>2103.840087890625</v>
      </c>
      <c r="F11" s="6">
        <f>IFERROR((General[[#This Row],[Fund_Price]]-D10)/D10,0)</f>
        <v>2.7563262361140491E-2</v>
      </c>
      <c r="G11" s="6">
        <f>IFERROR((General[[#This Row],[Benchmark_Price]]-E10)/E10,0)</f>
        <v>1.9742029435184834E-2</v>
      </c>
      <c r="H11" s="6">
        <f>General[[#This Row],[Fund_Return]]-General[[#This Row],[Bench_Return]]</f>
        <v>7.8212329259556568E-3</v>
      </c>
      <c r="I11">
        <f>I10*(1+General[[#This Row],[Fund_Return]])</f>
        <v>1065.2696565903145</v>
      </c>
      <c r="J11">
        <f>J10*(1+General[[#This Row],[Bench_Return]])</f>
        <v>1054.5617262187175</v>
      </c>
      <c r="M11">
        <f>MAX(M10,General[[#This Row],[Fund_Price]])</f>
        <v>176.4340515136719</v>
      </c>
      <c r="N11" s="9">
        <f>(General[[#This Row],[Fund_Price]]-General[[#This Row],[Highest Val]])/General[[#This Row],[Highest Val]]</f>
        <v>0</v>
      </c>
    </row>
    <row r="12" spans="3:16" x14ac:dyDescent="0.3">
      <c r="C12" s="3">
        <v>42217</v>
      </c>
      <c r="D12">
        <v>165.68037414550781</v>
      </c>
      <c r="E12">
        <v>1972.180053710938</v>
      </c>
      <c r="F12" s="6">
        <f>IFERROR((General[[#This Row],[Fund_Price]]-D11)/D11,0)</f>
        <v>-6.0950124286698631E-2</v>
      </c>
      <c r="G12" s="6">
        <f>IFERROR((General[[#This Row],[Benchmark_Price]]-E11)/E11,0)</f>
        <v>-6.2580818255865381E-2</v>
      </c>
      <c r="H12" s="6">
        <f>General[[#This Row],[Fund_Return]]-General[[#This Row],[Bench_Return]]</f>
        <v>1.6306939691667494E-3</v>
      </c>
      <c r="I12">
        <f>I11*(1+General[[#This Row],[Fund_Return]])</f>
        <v>1000.341338622286</v>
      </c>
      <c r="J12">
        <f>J11*(1+General[[#This Row],[Bench_Return]])</f>
        <v>988.56639049063222</v>
      </c>
      <c r="M12">
        <f>MAX(M11,General[[#This Row],[Fund_Price]])</f>
        <v>176.4340515136719</v>
      </c>
      <c r="N12" s="9">
        <f>(General[[#This Row],[Fund_Price]]-General[[#This Row],[Highest Val]])/General[[#This Row],[Highest Val]]</f>
        <v>-6.0950124286698631E-2</v>
      </c>
    </row>
    <row r="13" spans="3:16" x14ac:dyDescent="0.3">
      <c r="C13" s="3">
        <v>42248</v>
      </c>
      <c r="D13">
        <v>160.61793518066409</v>
      </c>
      <c r="E13">
        <v>1920.030029296875</v>
      </c>
      <c r="F13" s="6">
        <f>IFERROR((General[[#This Row],[Fund_Price]]-D12)/D12,0)</f>
        <v>-3.055545348055325E-2</v>
      </c>
      <c r="G13" s="6">
        <f>IFERROR((General[[#This Row],[Benchmark_Price]]-E12)/E12,0)</f>
        <v>-2.6442831280001664E-2</v>
      </c>
      <c r="H13" s="6">
        <f>General[[#This Row],[Fund_Return]]-General[[#This Row],[Bench_Return]]</f>
        <v>-4.1126222005515856E-3</v>
      </c>
      <c r="I13">
        <f>I12*(1+General[[#This Row],[Fund_Return]])</f>
        <v>969.77545538533843</v>
      </c>
      <c r="J13">
        <f>J12*(1+General[[#This Row],[Bench_Return]])</f>
        <v>962.42589621780814</v>
      </c>
      <c r="M13">
        <f>MAX(M12,General[[#This Row],[Fund_Price]])</f>
        <v>176.4340515136719</v>
      </c>
      <c r="N13" s="9">
        <f>(General[[#This Row],[Fund_Price]]-General[[#This Row],[Highest Val]])/General[[#This Row],[Highest Val]]</f>
        <v>-8.9643219079975717E-2</v>
      </c>
    </row>
    <row r="14" spans="3:16" x14ac:dyDescent="0.3">
      <c r="C14" s="3">
        <v>42278</v>
      </c>
      <c r="D14">
        <v>175.18605041503909</v>
      </c>
      <c r="E14">
        <v>2079.360107421875</v>
      </c>
      <c r="F14" s="6">
        <f>IFERROR((General[[#This Row],[Fund_Price]]-D13)/D13,0)</f>
        <v>9.0700426561882333E-2</v>
      </c>
      <c r="G14" s="6">
        <f>IFERROR((General[[#This Row],[Benchmark_Price]]-E13)/E13,0)</f>
        <v>8.2983117812666457E-2</v>
      </c>
      <c r="H14" s="6">
        <f>General[[#This Row],[Fund_Return]]-General[[#This Row],[Bench_Return]]</f>
        <v>7.717308749215876E-3</v>
      </c>
      <c r="I14">
        <f>I13*(1+General[[#This Row],[Fund_Return]])</f>
        <v>1057.7345028580323</v>
      </c>
      <c r="J14">
        <f>J13*(1+General[[#This Row],[Bench_Return]])</f>
        <v>1042.2909977496117</v>
      </c>
      <c r="M14">
        <f>MAX(M13,General[[#This Row],[Fund_Price]])</f>
        <v>176.4340515136719</v>
      </c>
      <c r="N14" s="9">
        <f>(General[[#This Row],[Fund_Price]]-General[[#This Row],[Highest Val]])/General[[#This Row],[Highest Val]]</f>
        <v>-7.0734707270274566E-3</v>
      </c>
    </row>
    <row r="15" spans="3:16" x14ac:dyDescent="0.3">
      <c r="C15" s="3">
        <v>42309</v>
      </c>
      <c r="D15">
        <v>175.82640075683591</v>
      </c>
      <c r="E15">
        <v>2080.409912109375</v>
      </c>
      <c r="F15" s="6">
        <f>IFERROR((General[[#This Row],[Fund_Price]]-D14)/D14,0)</f>
        <v>3.6552587393787511E-3</v>
      </c>
      <c r="G15" s="6">
        <f>IFERROR((General[[#This Row],[Benchmark_Price]]-E14)/E14,0)</f>
        <v>5.0486911033491722E-4</v>
      </c>
      <c r="H15" s="6">
        <f>General[[#This Row],[Fund_Return]]-General[[#This Row],[Bench_Return]]</f>
        <v>3.1503896290438339E-3</v>
      </c>
      <c r="I15">
        <f>I14*(1+General[[#This Row],[Fund_Return]])</f>
        <v>1061.6007961435466</v>
      </c>
      <c r="J15">
        <f>J14*(1+General[[#This Row],[Bench_Return]])</f>
        <v>1042.8172182783555</v>
      </c>
      <c r="M15">
        <f>MAX(M14,General[[#This Row],[Fund_Price]])</f>
        <v>176.4340515136719</v>
      </c>
      <c r="N15" s="9">
        <f>(General[[#This Row],[Fund_Price]]-General[[#This Row],[Highest Val]])/General[[#This Row],[Highest Val]]</f>
        <v>-3.444067353341412E-3</v>
      </c>
    </row>
    <row r="16" spans="3:16" x14ac:dyDescent="0.3">
      <c r="C16" s="3">
        <v>42339</v>
      </c>
      <c r="D16">
        <v>171.7654724121094</v>
      </c>
      <c r="E16">
        <v>2043.93994140625</v>
      </c>
      <c r="F16" s="6">
        <f>IFERROR((General[[#This Row],[Fund_Price]]-D15)/D15,0)</f>
        <v>-2.3096237693807323E-2</v>
      </c>
      <c r="G16" s="6">
        <f>IFERROR((General[[#This Row],[Benchmark_Price]]-E15)/E15,0)</f>
        <v>-1.7530185032692554E-2</v>
      </c>
      <c r="H16" s="6">
        <f>General[[#This Row],[Fund_Return]]-General[[#This Row],[Bench_Return]]</f>
        <v>-5.566052661114769E-3</v>
      </c>
      <c r="I16">
        <f>I15*(1+General[[#This Row],[Fund_Return]])</f>
        <v>1037.0818118198802</v>
      </c>
      <c r="J16">
        <f>J15*(1+General[[#This Row],[Bench_Return]])</f>
        <v>1024.5364394866583</v>
      </c>
      <c r="M16">
        <f>MAX(M15,General[[#This Row],[Fund_Price]])</f>
        <v>176.4340515136719</v>
      </c>
      <c r="N16" s="9">
        <f>(General[[#This Row],[Fund_Price]]-General[[#This Row],[Highest Val]])/General[[#This Row],[Highest Val]]</f>
        <v>-2.6460760048922477E-2</v>
      </c>
    </row>
    <row r="17" spans="3:14" x14ac:dyDescent="0.3">
      <c r="C17" s="3">
        <v>42370</v>
      </c>
      <c r="D17">
        <v>164.1851501464844</v>
      </c>
      <c r="E17">
        <v>1940.239990234375</v>
      </c>
      <c r="F17" s="6">
        <f>IFERROR((General[[#This Row],[Fund_Price]]-D16)/D16,0)</f>
        <v>-4.4131816244407159E-2</v>
      </c>
      <c r="G17" s="6">
        <f>IFERROR((General[[#This Row],[Benchmark_Price]]-E16)/E16,0)</f>
        <v>-5.0735322046952344E-2</v>
      </c>
      <c r="H17" s="6">
        <f>General[[#This Row],[Fund_Return]]-General[[#This Row],[Bench_Return]]</f>
        <v>6.6035058025451857E-3</v>
      </c>
      <c r="I17">
        <f>I16*(1+General[[#This Row],[Fund_Return]])</f>
        <v>991.31350787022836</v>
      </c>
      <c r="J17">
        <f>J16*(1+General[[#This Row],[Bench_Return]])</f>
        <v>972.55625328046483</v>
      </c>
      <c r="K17" s="6">
        <f>(General[[#This Row],[Fund_Price]]-D5)/D5</f>
        <v>-8.6864921297719177E-3</v>
      </c>
      <c r="L17" s="6">
        <f>(General[[#This Row],[Benchmark_Price]]-E5)/E5</f>
        <v>-2.7443746719535107E-2</v>
      </c>
      <c r="M17">
        <f>MAX(M16,General[[#This Row],[Fund_Price]])</f>
        <v>176.4340515136719</v>
      </c>
      <c r="N17" s="9">
        <f>(General[[#This Row],[Fund_Price]]-General[[#This Row],[Highest Val]])/General[[#This Row],[Highest Val]]</f>
        <v>-6.9424814893163239E-2</v>
      </c>
    </row>
    <row r="18" spans="3:14" x14ac:dyDescent="0.3">
      <c r="C18" s="3">
        <v>42401</v>
      </c>
      <c r="D18">
        <v>164.0495300292969</v>
      </c>
      <c r="E18">
        <v>1932.22998046875</v>
      </c>
      <c r="F18" s="6">
        <f>IFERROR((General[[#This Row],[Fund_Price]]-D17)/D17,0)</f>
        <v>-8.2601938766387246E-4</v>
      </c>
      <c r="G18" s="6">
        <f>IFERROR((General[[#This Row],[Benchmark_Price]]-E17)/E17,0)</f>
        <v>-4.1283603090035348E-3</v>
      </c>
      <c r="H18" s="6">
        <f>General[[#This Row],[Fund_Return]]-General[[#This Row],[Bench_Return]]</f>
        <v>3.3023409213396625E-3</v>
      </c>
      <c r="I18">
        <f>I17*(1+General[[#This Row],[Fund_Return]])</f>
        <v>990.49466369347442</v>
      </c>
      <c r="J18">
        <f>J17*(1+General[[#This Row],[Bench_Return]])</f>
        <v>968.54119064614861</v>
      </c>
      <c r="K18" s="6">
        <f>(General[[#This Row],[Fund_Price]]-D6)/D6</f>
        <v>-6.2212860667064294E-2</v>
      </c>
      <c r="L18" s="6">
        <f>(General[[#This Row],[Benchmark_Price]]-E6)/E6</f>
        <v>-8.1857932777975762E-2</v>
      </c>
      <c r="M18">
        <f>MAX(M17,General[[#This Row],[Fund_Price]])</f>
        <v>176.4340515136719</v>
      </c>
      <c r="N18" s="9">
        <f>(General[[#This Row],[Fund_Price]]-General[[#This Row],[Highest Val]])/General[[#This Row],[Highest Val]]</f>
        <v>-7.0193488037740392E-2</v>
      </c>
    </row>
    <row r="19" spans="3:14" x14ac:dyDescent="0.3">
      <c r="C19" s="3">
        <v>42430</v>
      </c>
      <c r="D19">
        <v>174.18608093261719</v>
      </c>
      <c r="E19">
        <v>2059.739990234375</v>
      </c>
      <c r="F19" s="6">
        <f>IFERROR((General[[#This Row],[Fund_Price]]-D18)/D18,0)</f>
        <v>6.1789575998846449E-2</v>
      </c>
      <c r="G19" s="6">
        <f>IFERROR((General[[#This Row],[Benchmark_Price]]-E18)/E18,0)</f>
        <v>6.5991114440058354E-2</v>
      </c>
      <c r="H19" s="6">
        <f>General[[#This Row],[Fund_Return]]-General[[#This Row],[Bench_Return]]</f>
        <v>-4.201538441211905E-3</v>
      </c>
      <c r="I19">
        <f>I18*(1+General[[#This Row],[Fund_Return]])</f>
        <v>1051.6969089922143</v>
      </c>
      <c r="J19">
        <f>J18*(1+General[[#This Row],[Bench_Return]])</f>
        <v>1032.456303197989</v>
      </c>
      <c r="K19" s="6">
        <f>(General[[#This Row],[Fund_Price]]-D7)/D7</f>
        <v>1.6136470675783249E-2</v>
      </c>
      <c r="L19" s="6">
        <f>(General[[#This Row],[Benchmark_Price]]-E7)/E7</f>
        <v>-3.9411684214913281E-3</v>
      </c>
      <c r="M19">
        <f>MAX(M18,General[[#This Row],[Fund_Price]])</f>
        <v>176.4340515136719</v>
      </c>
      <c r="N19" s="9">
        <f>(General[[#This Row],[Fund_Price]]-General[[#This Row],[Highest Val]])/General[[#This Row],[Highest Val]]</f>
        <v>-1.2741137902626015E-2</v>
      </c>
    </row>
    <row r="20" spans="3:14" x14ac:dyDescent="0.3">
      <c r="C20" s="3">
        <v>42461</v>
      </c>
      <c r="D20">
        <v>175.77452087402341</v>
      </c>
      <c r="E20">
        <v>2065.300048828125</v>
      </c>
      <c r="F20" s="6">
        <f>IFERROR((General[[#This Row],[Fund_Price]]-D19)/D19,0)</f>
        <v>9.1192128148327757E-3</v>
      </c>
      <c r="G20" s="6">
        <f>IFERROR((General[[#This Row],[Benchmark_Price]]-E19)/E19,0)</f>
        <v>2.6993982833325137E-3</v>
      </c>
      <c r="H20" s="6">
        <f>General[[#This Row],[Fund_Return]]-General[[#This Row],[Bench_Return]]</f>
        <v>6.4198145315002616E-3</v>
      </c>
      <c r="I20">
        <f>I19*(1+General[[#This Row],[Fund_Return]])</f>
        <v>1061.2875569220162</v>
      </c>
      <c r="J20">
        <f>J19*(1+General[[#This Row],[Bench_Return]])</f>
        <v>1035.2433139704574</v>
      </c>
      <c r="K20" s="6">
        <f>(General[[#This Row],[Fund_Price]]-D8)/D8</f>
        <v>1.0904762807389834E-2</v>
      </c>
      <c r="L20" s="6">
        <f>(General[[#This Row],[Benchmark_Price]]-E8)/E8</f>
        <v>-9.6906564067612642E-3</v>
      </c>
      <c r="M20">
        <f>MAX(M19,General[[#This Row],[Fund_Price]])</f>
        <v>176.4340515136719</v>
      </c>
      <c r="N20" s="9">
        <f>(General[[#This Row],[Fund_Price]]-General[[#This Row],[Highest Val]])/General[[#This Row],[Highest Val]]</f>
        <v>-3.7381142358304184E-3</v>
      </c>
    </row>
    <row r="21" spans="3:14" x14ac:dyDescent="0.3">
      <c r="C21" s="3">
        <v>42491</v>
      </c>
      <c r="D21">
        <v>178.76472473144531</v>
      </c>
      <c r="E21">
        <v>2096.949951171875</v>
      </c>
      <c r="F21" s="6">
        <f>IFERROR((General[[#This Row],[Fund_Price]]-D20)/D20,0)</f>
        <v>1.7011588724881038E-2</v>
      </c>
      <c r="G21" s="6">
        <f>IFERROR((General[[#This Row],[Benchmark_Price]]-E20)/E20,0)</f>
        <v>1.5324602525288526E-2</v>
      </c>
      <c r="H21" s="6">
        <f>General[[#This Row],[Fund_Return]]-General[[#This Row],[Bench_Return]]</f>
        <v>1.6869861995925124E-3</v>
      </c>
      <c r="I21">
        <f>I20*(1+General[[#This Row],[Fund_Return]])</f>
        <v>1079.3417443592073</v>
      </c>
      <c r="J21">
        <f>J20*(1+General[[#This Row],[Bench_Return]])</f>
        <v>1051.108006274017</v>
      </c>
      <c r="K21" s="6">
        <f>(General[[#This Row],[Fund_Price]]-D9)/D9</f>
        <v>1.5051987567274883E-2</v>
      </c>
      <c r="L21" s="6">
        <f>(General[[#This Row],[Benchmark_Price]]-E9)/E9</f>
        <v>-4.9539676749033148E-3</v>
      </c>
      <c r="M21">
        <f>MAX(M20,General[[#This Row],[Fund_Price]])</f>
        <v>178.76472473144531</v>
      </c>
      <c r="N21" s="9">
        <f>(General[[#This Row],[Fund_Price]]-General[[#This Row],[Highest Val]])/General[[#This Row],[Highest Val]]</f>
        <v>0</v>
      </c>
    </row>
    <row r="22" spans="3:14" x14ac:dyDescent="0.3">
      <c r="C22" s="3">
        <v>42522</v>
      </c>
      <c r="D22">
        <v>178.45802307128909</v>
      </c>
      <c r="E22">
        <v>2098.860107421875</v>
      </c>
      <c r="F22" s="6">
        <f>IFERROR((General[[#This Row],[Fund_Price]]-D21)/D21,0)</f>
        <v>-1.71567215297634E-3</v>
      </c>
      <c r="G22" s="6">
        <f>IFERROR((General[[#This Row],[Benchmark_Price]]-E21)/E21,0)</f>
        <v>9.1092124012426441E-4</v>
      </c>
      <c r="H22" s="6">
        <f>General[[#This Row],[Fund_Return]]-General[[#This Row],[Bench_Return]]</f>
        <v>-2.6265933931006046E-3</v>
      </c>
      <c r="I22">
        <f>I21*(1+General[[#This Row],[Fund_Return]])</f>
        <v>1077.4899477848653</v>
      </c>
      <c r="J22">
        <f>J21*(1+General[[#This Row],[Bench_Return]])</f>
        <v>1052.0654828825968</v>
      </c>
      <c r="K22" s="6">
        <f>(General[[#This Row],[Fund_Price]]-D10)/D10</f>
        <v>3.9351002872841628E-2</v>
      </c>
      <c r="L22" s="6">
        <f>(General[[#This Row],[Benchmark_Price]]-E10)/E10</f>
        <v>1.7328207482185373E-2</v>
      </c>
      <c r="M22">
        <f>MAX(M21,General[[#This Row],[Fund_Price]])</f>
        <v>178.76472473144531</v>
      </c>
      <c r="N22" s="9">
        <f>(General[[#This Row],[Fund_Price]]-General[[#This Row],[Highest Val]])/General[[#This Row],[Highest Val]]</f>
        <v>-1.71567215297634E-3</v>
      </c>
    </row>
    <row r="23" spans="3:14" x14ac:dyDescent="0.3">
      <c r="C23" s="3">
        <v>42552</v>
      </c>
      <c r="D23">
        <v>185.92854309082031</v>
      </c>
      <c r="E23">
        <v>2173.60009765625</v>
      </c>
      <c r="F23" s="6">
        <f>IFERROR((General[[#This Row],[Fund_Price]]-D22)/D22,0)</f>
        <v>4.1861497123875192E-2</v>
      </c>
      <c r="G23" s="6">
        <f>IFERROR((General[[#This Row],[Benchmark_Price]]-E22)/E22,0)</f>
        <v>3.5609800753315338E-2</v>
      </c>
      <c r="H23" s="6">
        <f>General[[#This Row],[Fund_Return]]-General[[#This Row],[Bench_Return]]</f>
        <v>6.2516963705598547E-3</v>
      </c>
      <c r="I23">
        <f>I22*(1+General[[#This Row],[Fund_Return]])</f>
        <v>1122.5952901350659</v>
      </c>
      <c r="J23">
        <f>J22*(1+General[[#This Row],[Bench_Return]])</f>
        <v>1089.5293251074868</v>
      </c>
      <c r="K23" s="6">
        <f>(General[[#This Row],[Fund_Price]]-D11)/D11</f>
        <v>5.3813260511181307E-2</v>
      </c>
      <c r="L23" s="6">
        <f>(General[[#This Row],[Benchmark_Price]]-E11)/E11</f>
        <v>3.3158418345174009E-2</v>
      </c>
      <c r="M23">
        <f>MAX(M22,General[[#This Row],[Fund_Price]])</f>
        <v>185.92854309082031</v>
      </c>
      <c r="N23" s="9">
        <f>(General[[#This Row],[Fund_Price]]-General[[#This Row],[Highest Val]])/General[[#This Row],[Highest Val]]</f>
        <v>0</v>
      </c>
    </row>
    <row r="24" spans="3:14" x14ac:dyDescent="0.3">
      <c r="C24" s="3">
        <v>42583</v>
      </c>
      <c r="D24">
        <v>186.15116882324219</v>
      </c>
      <c r="E24">
        <v>2170.949951171875</v>
      </c>
      <c r="F24" s="6">
        <f>IFERROR((General[[#This Row],[Fund_Price]]-D23)/D23,0)</f>
        <v>1.1973725428114027E-3</v>
      </c>
      <c r="G24" s="6">
        <f>IFERROR((General[[#This Row],[Benchmark_Price]]-E23)/E23,0)</f>
        <v>-1.2192428990192817E-3</v>
      </c>
      <c r="H24" s="6">
        <f>General[[#This Row],[Fund_Return]]-General[[#This Row],[Bench_Return]]</f>
        <v>2.4166154418306844E-3</v>
      </c>
      <c r="I24">
        <f>I23*(1+General[[#This Row],[Fund_Return]])</f>
        <v>1123.939454912163</v>
      </c>
      <c r="J24">
        <f>J23*(1+General[[#This Row],[Bench_Return]])</f>
        <v>1088.2009242145762</v>
      </c>
      <c r="K24" s="6">
        <f>(General[[#This Row],[Fund_Price]]-D12)/D12</f>
        <v>0.12355594187490197</v>
      </c>
      <c r="L24" s="6">
        <f>(General[[#This Row],[Benchmark_Price]]-E12)/E12</f>
        <v>0.10078689168715764</v>
      </c>
      <c r="M24">
        <f>MAX(M23,General[[#This Row],[Fund_Price]])</f>
        <v>186.15116882324219</v>
      </c>
      <c r="N24" s="9">
        <f>(General[[#This Row],[Fund_Price]]-General[[#This Row],[Highest Val]])/General[[#This Row],[Highest Val]]</f>
        <v>0</v>
      </c>
    </row>
    <row r="25" spans="3:14" x14ac:dyDescent="0.3">
      <c r="C25" s="3">
        <v>42614</v>
      </c>
      <c r="D25">
        <v>185.2263488769531</v>
      </c>
      <c r="E25">
        <v>2168.27001953125</v>
      </c>
      <c r="F25" s="6">
        <f>IFERROR((General[[#This Row],[Fund_Price]]-D24)/D24,0)</f>
        <v>-4.9681124869392764E-3</v>
      </c>
      <c r="G25" s="6">
        <f>IFERROR((General[[#This Row],[Benchmark_Price]]-E24)/E24,0)</f>
        <v>-1.2344511393173193E-3</v>
      </c>
      <c r="H25" s="6">
        <f>General[[#This Row],[Fund_Return]]-General[[#This Row],[Bench_Return]]</f>
        <v>-3.7336613476219574E-3</v>
      </c>
      <c r="I25">
        <f>I24*(1+General[[#This Row],[Fund_Return]])</f>
        <v>1118.3555972716501</v>
      </c>
      <c r="J25">
        <f>J24*(1+General[[#This Row],[Bench_Return]])</f>
        <v>1086.8575933438733</v>
      </c>
      <c r="K25" s="6">
        <f>(General[[#This Row],[Fund_Price]]-D13)/D13</f>
        <v>0.15321087068271239</v>
      </c>
      <c r="L25" s="6">
        <f>(General[[#This Row],[Benchmark_Price]]-E13)/E13</f>
        <v>0.1292896394569838</v>
      </c>
      <c r="M25">
        <f>MAX(M24,General[[#This Row],[Fund_Price]])</f>
        <v>186.15116882324219</v>
      </c>
      <c r="N25" s="9">
        <f>(General[[#This Row],[Fund_Price]]-General[[#This Row],[Highest Val]])/General[[#This Row],[Highest Val]]</f>
        <v>-4.9681124869392764E-3</v>
      </c>
    </row>
    <row r="26" spans="3:14" x14ac:dyDescent="0.3">
      <c r="C26" s="3">
        <v>42644</v>
      </c>
      <c r="D26">
        <v>182.93450927734381</v>
      </c>
      <c r="E26">
        <v>2126.14990234375</v>
      </c>
      <c r="F26" s="6">
        <f>IFERROR((General[[#This Row],[Fund_Price]]-D25)/D25,0)</f>
        <v>-1.237318347797144E-2</v>
      </c>
      <c r="G26" s="6">
        <f>IFERROR((General[[#This Row],[Benchmark_Price]]-E25)/E25,0)</f>
        <v>-1.9425678909034488E-2</v>
      </c>
      <c r="H26" s="6">
        <f>General[[#This Row],[Fund_Return]]-General[[#This Row],[Bench_Return]]</f>
        <v>7.0524954310630487E-3</v>
      </c>
      <c r="I26">
        <f>I25*(1+General[[#This Row],[Fund_Return]])</f>
        <v>1104.5179782729917</v>
      </c>
      <c r="J26">
        <f>J25*(1+General[[#This Row],[Bench_Return]])</f>
        <v>1065.7446467157292</v>
      </c>
      <c r="K26" s="6">
        <f>(General[[#This Row],[Fund_Price]]-D14)/D14</f>
        <v>4.42298849933975E-2</v>
      </c>
      <c r="L26" s="6">
        <f>(General[[#This Row],[Benchmark_Price]]-E14)/E14</f>
        <v>2.2502016247627262E-2</v>
      </c>
      <c r="M26">
        <f>MAX(M25,General[[#This Row],[Fund_Price]])</f>
        <v>186.15116882324219</v>
      </c>
      <c r="N26" s="9">
        <f>(General[[#This Row],[Fund_Price]]-General[[#This Row],[Highest Val]])/General[[#This Row],[Highest Val]]</f>
        <v>-1.7279824597570617E-2</v>
      </c>
    </row>
    <row r="27" spans="3:14" x14ac:dyDescent="0.3">
      <c r="C27" s="3">
        <v>42675</v>
      </c>
      <c r="D27">
        <v>189.6734619140625</v>
      </c>
      <c r="E27">
        <v>2198.81005859375</v>
      </c>
      <c r="F27" s="6">
        <f>IFERROR((General[[#This Row],[Fund_Price]]-D26)/D26,0)</f>
        <v>3.6838061136414045E-2</v>
      </c>
      <c r="G27" s="6">
        <f>IFERROR((General[[#This Row],[Benchmark_Price]]-E26)/E26,0)</f>
        <v>3.4174521829295042E-2</v>
      </c>
      <c r="H27" s="6">
        <f>General[[#This Row],[Fund_Return]]-General[[#This Row],[Bench_Return]]</f>
        <v>2.6635393071190033E-3</v>
      </c>
      <c r="I27">
        <f>I26*(1+General[[#This Row],[Fund_Return]])</f>
        <v>1145.2062790828807</v>
      </c>
      <c r="J27">
        <f>J26*(1+General[[#This Row],[Bench_Return]])</f>
        <v>1102.1659604093702</v>
      </c>
      <c r="K27" s="6">
        <f>(General[[#This Row],[Fund_Price]]-D15)/D15</f>
        <v>7.875416375255713E-2</v>
      </c>
      <c r="L27" s="6">
        <f>(General[[#This Row],[Benchmark_Price]]-E15)/E15</f>
        <v>5.6911931535803151E-2</v>
      </c>
      <c r="M27">
        <f>MAX(M26,General[[#This Row],[Fund_Price]])</f>
        <v>189.6734619140625</v>
      </c>
      <c r="N27" s="9">
        <f>(General[[#This Row],[Fund_Price]]-General[[#This Row],[Highest Val]])/General[[#This Row],[Highest Val]]</f>
        <v>0</v>
      </c>
    </row>
    <row r="28" spans="3:14" x14ac:dyDescent="0.3">
      <c r="C28" s="3">
        <v>42705</v>
      </c>
      <c r="D28">
        <v>192.3846130371094</v>
      </c>
      <c r="E28">
        <v>2238.830078125</v>
      </c>
      <c r="F28" s="6">
        <f>IFERROR((General[[#This Row],[Fund_Price]]-D27)/D27,0)</f>
        <v>1.4293782038286807E-2</v>
      </c>
      <c r="G28" s="6">
        <f>IFERROR((General[[#This Row],[Benchmark_Price]]-E27)/E27,0)</f>
        <v>1.8200762441865862E-2</v>
      </c>
      <c r="H28" s="6">
        <f>General[[#This Row],[Fund_Return]]-General[[#This Row],[Bench_Return]]</f>
        <v>-3.9069804035790547E-3</v>
      </c>
      <c r="I28">
        <f>I27*(1+General[[#This Row],[Fund_Return]])</f>
        <v>1161.5756080249689</v>
      </c>
      <c r="J28">
        <f>J27*(1+General[[#This Row],[Bench_Return]])</f>
        <v>1122.2262212262922</v>
      </c>
      <c r="K28" s="6">
        <f>(General[[#This Row],[Fund_Price]]-D16)/D16</f>
        <v>0.12004240628482886</v>
      </c>
      <c r="L28" s="6">
        <f>(General[[#This Row],[Benchmark_Price]]-E16)/E16</f>
        <v>9.5350226672836449E-2</v>
      </c>
      <c r="M28">
        <f>MAX(M27,General[[#This Row],[Fund_Price]])</f>
        <v>192.3846130371094</v>
      </c>
      <c r="N28" s="9">
        <f>(General[[#This Row],[Fund_Price]]-General[[#This Row],[Highest Val]])/General[[#This Row],[Highest Val]]</f>
        <v>0</v>
      </c>
    </row>
    <row r="29" spans="3:14" x14ac:dyDescent="0.3">
      <c r="C29" s="3">
        <v>42736</v>
      </c>
      <c r="D29">
        <v>196.9814758300781</v>
      </c>
      <c r="E29">
        <v>2278.8701171875</v>
      </c>
      <c r="F29" s="6">
        <f>IFERROR((General[[#This Row],[Fund_Price]]-D28)/D28,0)</f>
        <v>2.3894129163448203E-2</v>
      </c>
      <c r="G29" s="6">
        <f>IFERROR((General[[#This Row],[Benchmark_Price]]-E28)/E28,0)</f>
        <v>1.7884358198382421E-2</v>
      </c>
      <c r="H29" s="6">
        <f>General[[#This Row],[Fund_Return]]-General[[#This Row],[Bench_Return]]</f>
        <v>6.0097709650657818E-3</v>
      </c>
      <c r="I29">
        <f>I28*(1+General[[#This Row],[Fund_Return]])</f>
        <v>1189.3304456362284</v>
      </c>
      <c r="J29">
        <f>J28*(1+General[[#This Row],[Bench_Return]])</f>
        <v>1142.2965169463205</v>
      </c>
      <c r="K29" s="6">
        <f>(General[[#This Row],[Fund_Price]]-D17)/D17</f>
        <v>0.19975208265993075</v>
      </c>
      <c r="L29" s="6">
        <f>(General[[#This Row],[Benchmark_Price]]-E17)/E17</f>
        <v>0.17453002136721216</v>
      </c>
      <c r="M29">
        <f>MAX(M28,General[[#This Row],[Fund_Price]])</f>
        <v>196.9814758300781</v>
      </c>
      <c r="N29" s="9">
        <f>(General[[#This Row],[Fund_Price]]-General[[#This Row],[Highest Val]])/General[[#This Row],[Highest Val]]</f>
        <v>0</v>
      </c>
    </row>
    <row r="30" spans="3:14" x14ac:dyDescent="0.3">
      <c r="C30" s="3">
        <v>42767</v>
      </c>
      <c r="D30">
        <v>204.72120666503909</v>
      </c>
      <c r="E30">
        <v>2363.639892578125</v>
      </c>
      <c r="F30" s="6">
        <f>IFERROR((General[[#This Row],[Fund_Price]]-D29)/D29,0)</f>
        <v>3.9291668428951709E-2</v>
      </c>
      <c r="G30" s="6">
        <f>IFERROR((General[[#This Row],[Benchmark_Price]]-E29)/E29,0)</f>
        <v>3.7198160066816283E-2</v>
      </c>
      <c r="H30" s="6">
        <f>General[[#This Row],[Fund_Return]]-General[[#This Row],[Bench_Return]]</f>
        <v>2.0935083621354267E-3</v>
      </c>
      <c r="I30">
        <f>I29*(1+General[[#This Row],[Fund_Return]])</f>
        <v>1236.0612231586244</v>
      </c>
      <c r="J30">
        <f>J29*(1+General[[#This Row],[Bench_Return]])</f>
        <v>1184.7878456274564</v>
      </c>
      <c r="K30" s="6">
        <f>(General[[#This Row],[Fund_Price]]-D18)/D18</f>
        <v>0.24792315240695176</v>
      </c>
      <c r="L30" s="6">
        <f>(General[[#This Row],[Benchmark_Price]]-E18)/E18</f>
        <v>0.2232704783954946</v>
      </c>
      <c r="M30">
        <f>MAX(M29,General[[#This Row],[Fund_Price]])</f>
        <v>204.72120666503909</v>
      </c>
      <c r="N30" s="9">
        <f>(General[[#This Row],[Fund_Price]]-General[[#This Row],[Highest Val]])/General[[#This Row],[Highest Val]]</f>
        <v>0</v>
      </c>
    </row>
    <row r="31" spans="3:14" x14ac:dyDescent="0.3">
      <c r="C31" s="3">
        <v>42795</v>
      </c>
      <c r="D31">
        <v>204.08915710449219</v>
      </c>
      <c r="E31">
        <v>2362.719970703125</v>
      </c>
      <c r="F31" s="6">
        <f>IFERROR((General[[#This Row],[Fund_Price]]-D30)/D30,0)</f>
        <v>-3.0873673071937818E-3</v>
      </c>
      <c r="G31" s="6">
        <f>IFERROR((General[[#This Row],[Benchmark_Price]]-E30)/E30,0)</f>
        <v>-3.8919713526945138E-4</v>
      </c>
      <c r="H31" s="6">
        <f>General[[#This Row],[Fund_Return]]-General[[#This Row],[Bench_Return]]</f>
        <v>-2.6981701719243304E-3</v>
      </c>
      <c r="I31">
        <f>I30*(1+General[[#This Row],[Fund_Return]])</f>
        <v>1232.2450481485546</v>
      </c>
      <c r="J31">
        <f>J30*(1+General[[#This Row],[Bench_Return]])</f>
        <v>1184.3267295920361</v>
      </c>
      <c r="K31" s="6">
        <f>(General[[#This Row],[Fund_Price]]-D19)/D19</f>
        <v>0.17167316706231436</v>
      </c>
      <c r="L31" s="6">
        <f>(General[[#This Row],[Benchmark_Price]]-E19)/E19</f>
        <v>0.14709622666221786</v>
      </c>
      <c r="M31">
        <f>MAX(M30,General[[#This Row],[Fund_Price]])</f>
        <v>204.72120666503909</v>
      </c>
      <c r="N31" s="9">
        <f>(General[[#This Row],[Fund_Price]]-General[[#This Row],[Highest Val]])/General[[#This Row],[Highest Val]]</f>
        <v>-3.0873673071937818E-3</v>
      </c>
    </row>
    <row r="32" spans="3:14" x14ac:dyDescent="0.3">
      <c r="C32" s="3">
        <v>42826</v>
      </c>
      <c r="D32">
        <v>207.01171875</v>
      </c>
      <c r="E32">
        <v>2384.199951171875</v>
      </c>
      <c r="F32" s="6">
        <f>IFERROR((General[[#This Row],[Fund_Price]]-D31)/D31,0)</f>
        <v>1.4320024086392213E-2</v>
      </c>
      <c r="G32" s="6">
        <f>IFERROR((General[[#This Row],[Benchmark_Price]]-E31)/E31,0)</f>
        <v>9.0912087488547125E-3</v>
      </c>
      <c r="H32" s="6">
        <f>General[[#This Row],[Fund_Return]]-General[[#This Row],[Bench_Return]]</f>
        <v>5.2288153375375009E-3</v>
      </c>
      <c r="I32">
        <f>I31*(1+General[[#This Row],[Fund_Return]])</f>
        <v>1249.8908269183794</v>
      </c>
      <c r="J32">
        <f>J31*(1+General[[#This Row],[Bench_Return]])</f>
        <v>1195.0936911176057</v>
      </c>
      <c r="K32" s="6">
        <f>(General[[#This Row],[Fund_Price]]-D20)/D20</f>
        <v>0.17771175094463271</v>
      </c>
      <c r="L32" s="6">
        <f>(General[[#This Row],[Benchmark_Price]]-E20)/E20</f>
        <v>0.15440850956484384</v>
      </c>
      <c r="M32">
        <f>MAX(M31,General[[#This Row],[Fund_Price]])</f>
        <v>207.01171875</v>
      </c>
      <c r="N32" s="9">
        <f>(General[[#This Row],[Fund_Price]]-General[[#This Row],[Highest Val]])/General[[#This Row],[Highest Val]]</f>
        <v>0</v>
      </c>
    </row>
    <row r="33" spans="3:14" x14ac:dyDescent="0.3">
      <c r="C33" s="3">
        <v>42856</v>
      </c>
      <c r="D33">
        <v>209.9332275390625</v>
      </c>
      <c r="E33">
        <v>2411.800048828125</v>
      </c>
      <c r="F33" s="6">
        <f>IFERROR((General[[#This Row],[Fund_Price]]-D32)/D32,0)</f>
        <v>1.4112770072648363E-2</v>
      </c>
      <c r="G33" s="6">
        <f>IFERROR((General[[#This Row],[Benchmark_Price]]-E32)/E32,0)</f>
        <v>1.1576251246328597E-2</v>
      </c>
      <c r="H33" s="6">
        <f>General[[#This Row],[Fund_Return]]-General[[#This Row],[Bench_Return]]</f>
        <v>2.5365188263197658E-3</v>
      </c>
      <c r="I33">
        <f>I32*(1+General[[#This Row],[Fund_Return]])</f>
        <v>1267.530248774591</v>
      </c>
      <c r="J33">
        <f>J32*(1+General[[#This Row],[Bench_Return]])</f>
        <v>1208.9283959488853</v>
      </c>
      <c r="K33" s="6">
        <f>(General[[#This Row],[Fund_Price]]-D21)/D21</f>
        <v>0.17435488379735437</v>
      </c>
      <c r="L33" s="6">
        <f>(General[[#This Row],[Benchmark_Price]]-E21)/E21</f>
        <v>0.15014669161765012</v>
      </c>
      <c r="M33">
        <f>MAX(M32,General[[#This Row],[Fund_Price]])</f>
        <v>209.9332275390625</v>
      </c>
      <c r="N33" s="9">
        <f>(General[[#This Row],[Fund_Price]]-General[[#This Row],[Highest Val]])/General[[#This Row],[Highest Val]]</f>
        <v>0</v>
      </c>
    </row>
    <row r="34" spans="3:14" x14ac:dyDescent="0.3">
      <c r="C34" s="3">
        <v>42887</v>
      </c>
      <c r="D34">
        <v>210.24623107910159</v>
      </c>
      <c r="E34">
        <v>2423.409912109375</v>
      </c>
      <c r="F34" s="6">
        <f>IFERROR((General[[#This Row],[Fund_Price]]-D33)/D33,0)</f>
        <v>1.4909671218237715E-3</v>
      </c>
      <c r="G34" s="6">
        <f>IFERROR((General[[#This Row],[Benchmark_Price]]-E33)/E33,0)</f>
        <v>4.8137752078125807E-3</v>
      </c>
      <c r="H34" s="6">
        <f>General[[#This Row],[Fund_Return]]-General[[#This Row],[Bench_Return]]</f>
        <v>-3.322808085988809E-3</v>
      </c>
      <c r="I34">
        <f>I33*(1+General[[#This Row],[Fund_Return]])</f>
        <v>1269.420094701431</v>
      </c>
      <c r="J34">
        <f>J33*(1+General[[#This Row],[Bench_Return]])</f>
        <v>1214.7479054893247</v>
      </c>
      <c r="K34" s="6">
        <f>(General[[#This Row],[Fund_Price]]-D22)/D22</f>
        <v>0.17812708815626621</v>
      </c>
      <c r="L34" s="6">
        <f>(General[[#This Row],[Benchmark_Price]]-E22)/E22</f>
        <v>0.15463146092483468</v>
      </c>
      <c r="M34">
        <f>MAX(M33,General[[#This Row],[Fund_Price]])</f>
        <v>210.24623107910159</v>
      </c>
      <c r="N34" s="9">
        <f>(General[[#This Row],[Fund_Price]]-General[[#This Row],[Highest Val]])/General[[#This Row],[Highest Val]]</f>
        <v>0</v>
      </c>
    </row>
    <row r="35" spans="3:14" x14ac:dyDescent="0.3">
      <c r="C35" s="3">
        <v>42917</v>
      </c>
      <c r="D35">
        <v>215.61405944824219</v>
      </c>
      <c r="E35">
        <v>2470.300048828125</v>
      </c>
      <c r="F35" s="6">
        <f>IFERROR((General[[#This Row],[Fund_Price]]-D34)/D34,0)</f>
        <v>2.5531151457935254E-2</v>
      </c>
      <c r="G35" s="6">
        <f>IFERROR((General[[#This Row],[Benchmark_Price]]-E34)/E34,0)</f>
        <v>1.9348826001101924E-2</v>
      </c>
      <c r="H35" s="6">
        <f>General[[#This Row],[Fund_Return]]-General[[#This Row],[Bench_Return]]</f>
        <v>6.1823254568333305E-3</v>
      </c>
      <c r="I35">
        <f>I34*(1+General[[#This Row],[Fund_Return]])</f>
        <v>1301.8298514029998</v>
      </c>
      <c r="J35">
        <f>J34*(1+General[[#This Row],[Bench_Return]])</f>
        <v>1238.2518513478406</v>
      </c>
      <c r="K35" s="6">
        <f>(General[[#This Row],[Fund_Price]]-D23)/D23</f>
        <v>0.15966088833881426</v>
      </c>
      <c r="L35" s="6">
        <f>(General[[#This Row],[Benchmark_Price]]-E23)/E23</f>
        <v>0.13650162764153384</v>
      </c>
      <c r="M35">
        <f>MAX(M34,General[[#This Row],[Fund_Price]])</f>
        <v>215.61405944824219</v>
      </c>
      <c r="N35" s="9">
        <f>(General[[#This Row],[Fund_Price]]-General[[#This Row],[Highest Val]])/General[[#This Row],[Highest Val]]</f>
        <v>0</v>
      </c>
    </row>
    <row r="36" spans="3:14" x14ac:dyDescent="0.3">
      <c r="C36" s="3">
        <v>42948</v>
      </c>
      <c r="D36">
        <v>216.2431945800781</v>
      </c>
      <c r="E36">
        <v>2471.64990234375</v>
      </c>
      <c r="F36" s="6">
        <f>IFERROR((General[[#This Row],[Fund_Price]]-D35)/D35,0)</f>
        <v>2.9178761971546292E-3</v>
      </c>
      <c r="G36" s="6">
        <f>IFERROR((General[[#This Row],[Benchmark_Price]]-E35)/E35,0)</f>
        <v>5.4643301985333776E-4</v>
      </c>
      <c r="H36" s="6">
        <f>General[[#This Row],[Fund_Return]]-General[[#This Row],[Bench_Return]]</f>
        <v>2.3714431773012917E-3</v>
      </c>
      <c r="I36">
        <f>I35*(1+General[[#This Row],[Fund_Return]])</f>
        <v>1305.6284297391539</v>
      </c>
      <c r="J36">
        <f>J35*(1+General[[#This Row],[Bench_Return]])</f>
        <v>1238.9284730463114</v>
      </c>
      <c r="K36" s="6">
        <f>(General[[#This Row],[Fund_Price]]-D24)/D24</f>
        <v>0.16165370299344972</v>
      </c>
      <c r="L36" s="6">
        <f>(General[[#This Row],[Benchmark_Price]]-E24)/E24</f>
        <v>0.13851077083078664</v>
      </c>
      <c r="M36">
        <f>MAX(M35,General[[#This Row],[Fund_Price]])</f>
        <v>216.2431945800781</v>
      </c>
      <c r="N36" s="9">
        <f>(General[[#This Row],[Fund_Price]]-General[[#This Row],[Highest Val]])/General[[#This Row],[Highest Val]]</f>
        <v>0</v>
      </c>
    </row>
    <row r="37" spans="3:14" x14ac:dyDescent="0.3">
      <c r="C37" s="3">
        <v>42979</v>
      </c>
      <c r="D37">
        <v>219.5109558105469</v>
      </c>
      <c r="E37">
        <v>2519.360107421875</v>
      </c>
      <c r="F37" s="6">
        <f>IFERROR((General[[#This Row],[Fund_Price]]-D36)/D36,0)</f>
        <v>1.5111510153253429E-2</v>
      </c>
      <c r="G37" s="6">
        <f>IFERROR((General[[#This Row],[Benchmark_Price]]-E36)/E36,0)</f>
        <v>1.9302978562167582E-2</v>
      </c>
      <c r="H37" s="6">
        <f>General[[#This Row],[Fund_Return]]-General[[#This Row],[Bench_Return]]</f>
        <v>-4.1914684089141528E-3</v>
      </c>
      <c r="I37">
        <f>I36*(1+General[[#This Row],[Fund_Return]])</f>
        <v>1325.3584470115336</v>
      </c>
      <c r="J37">
        <f>J36*(1+General[[#This Row],[Bench_Return]])</f>
        <v>1262.8434828015834</v>
      </c>
      <c r="K37" s="6">
        <f>(General[[#This Row],[Fund_Price]]-D25)/D25</f>
        <v>0.18509573363328163</v>
      </c>
      <c r="L37" s="6">
        <f>(General[[#This Row],[Benchmark_Price]]-E25)/E25</f>
        <v>0.16192175546776497</v>
      </c>
      <c r="M37">
        <f>MAX(M36,General[[#This Row],[Fund_Price]])</f>
        <v>219.5109558105469</v>
      </c>
      <c r="N37" s="9">
        <f>(General[[#This Row],[Fund_Price]]-General[[#This Row],[Highest Val]])/General[[#This Row],[Highest Val]]</f>
        <v>0</v>
      </c>
    </row>
    <row r="38" spans="3:14" x14ac:dyDescent="0.3">
      <c r="C38" s="3">
        <v>43009</v>
      </c>
      <c r="D38">
        <v>225.79864501953119</v>
      </c>
      <c r="E38">
        <v>2575.260009765625</v>
      </c>
      <c r="F38" s="6">
        <f>IFERROR((General[[#This Row],[Fund_Price]]-D37)/D37,0)</f>
        <v>2.8644079224961323E-2</v>
      </c>
      <c r="G38" s="6">
        <f>IFERROR((General[[#This Row],[Benchmark_Price]]-E37)/E37,0)</f>
        <v>2.2188135066151297E-2</v>
      </c>
      <c r="H38" s="6">
        <f>General[[#This Row],[Fund_Return]]-General[[#This Row],[Bench_Return]]</f>
        <v>6.4559441588100258E-3</v>
      </c>
      <c r="I38">
        <f>I37*(1+General[[#This Row],[Fund_Return]])</f>
        <v>1363.3221193692038</v>
      </c>
      <c r="J38">
        <f>J37*(1+General[[#This Row],[Bench_Return]])</f>
        <v>1290.8636245653938</v>
      </c>
      <c r="K38" s="6">
        <f>(General[[#This Row],[Fund_Price]]-D26)/D26</f>
        <v>0.23431410460232968</v>
      </c>
      <c r="L38" s="6">
        <f>(General[[#This Row],[Benchmark_Price]]-E26)/E26</f>
        <v>0.2112316290242757</v>
      </c>
      <c r="M38">
        <f>MAX(M37,General[[#This Row],[Fund_Price]])</f>
        <v>225.79864501953119</v>
      </c>
      <c r="N38" s="9">
        <f>(General[[#This Row],[Fund_Price]]-General[[#This Row],[Highest Val]])/General[[#This Row],[Highest Val]]</f>
        <v>0</v>
      </c>
    </row>
    <row r="39" spans="3:14" x14ac:dyDescent="0.3">
      <c r="C39" s="3">
        <v>43040</v>
      </c>
      <c r="D39">
        <v>232.7003479003906</v>
      </c>
      <c r="E39">
        <v>2647.580078125</v>
      </c>
      <c r="F39" s="6">
        <f>IFERROR((General[[#This Row],[Fund_Price]]-D38)/D38,0)</f>
        <v>3.0565740907180457E-2</v>
      </c>
      <c r="G39" s="6">
        <f>IFERROR((General[[#This Row],[Benchmark_Price]]-E38)/E38,0)</f>
        <v>2.808262780656345E-2</v>
      </c>
      <c r="H39" s="6">
        <f>General[[#This Row],[Fund_Return]]-General[[#This Row],[Bench_Return]]</f>
        <v>2.4831131006170064E-3</v>
      </c>
      <c r="I39">
        <f>I38*(1+General[[#This Row],[Fund_Return]])</f>
        <v>1404.9930700428711</v>
      </c>
      <c r="J39">
        <f>J38*(1+General[[#This Row],[Bench_Return]])</f>
        <v>1327.1144672830951</v>
      </c>
      <c r="K39" s="6">
        <f>(General[[#This Row],[Fund_Price]]-D27)/D27</f>
        <v>0.22684715907079703</v>
      </c>
      <c r="L39" s="6">
        <f>(General[[#This Row],[Benchmark_Price]]-E27)/E27</f>
        <v>0.20409676487393416</v>
      </c>
      <c r="M39">
        <f>MAX(M38,General[[#This Row],[Fund_Price]])</f>
        <v>232.7003479003906</v>
      </c>
      <c r="N39" s="9">
        <f>(General[[#This Row],[Fund_Price]]-General[[#This Row],[Highest Val]])/General[[#This Row],[Highest Val]]</f>
        <v>0</v>
      </c>
    </row>
    <row r="40" spans="3:14" x14ac:dyDescent="0.3">
      <c r="C40" s="3">
        <v>43070</v>
      </c>
      <c r="D40">
        <v>234.32475280761719</v>
      </c>
      <c r="E40">
        <v>2673.610107421875</v>
      </c>
      <c r="F40" s="6">
        <f>IFERROR((General[[#This Row],[Fund_Price]]-D39)/D39,0)</f>
        <v>6.9806724479927786E-3</v>
      </c>
      <c r="G40" s="6">
        <f>IFERROR((General[[#This Row],[Benchmark_Price]]-E39)/E39,0)</f>
        <v>9.8316305942705642E-3</v>
      </c>
      <c r="H40" s="6">
        <f>General[[#This Row],[Fund_Return]]-General[[#This Row],[Bench_Return]]</f>
        <v>-2.8509581462777857E-3</v>
      </c>
      <c r="I40">
        <f>I39*(1+General[[#This Row],[Fund_Return]])</f>
        <v>1414.8008664565402</v>
      </c>
      <c r="J40">
        <f>J39*(1+General[[#This Row],[Bench_Return]])</f>
        <v>1340.1621664817346</v>
      </c>
      <c r="K40" s="6">
        <f>(General[[#This Row],[Fund_Price]]-D28)/D28</f>
        <v>0.21800152885624943</v>
      </c>
      <c r="L40" s="6">
        <f>(General[[#This Row],[Benchmark_Price]]-E28)/E28</f>
        <v>0.19419965523287919</v>
      </c>
      <c r="M40">
        <f>MAX(M39,General[[#This Row],[Fund_Price]])</f>
        <v>234.32475280761719</v>
      </c>
      <c r="N40" s="9">
        <f>(General[[#This Row],[Fund_Price]]-General[[#This Row],[Highest Val]])/General[[#This Row],[Highest Val]]</f>
        <v>0</v>
      </c>
    </row>
    <row r="41" spans="3:14" x14ac:dyDescent="0.3">
      <c r="C41" s="3">
        <v>43101</v>
      </c>
      <c r="D41">
        <v>248.7964172363281</v>
      </c>
      <c r="E41">
        <v>2823.81005859375</v>
      </c>
      <c r="F41" s="6">
        <f>IFERROR((General[[#This Row],[Fund_Price]]-D40)/D40,0)</f>
        <v>6.1759008620793386E-2</v>
      </c>
      <c r="G41" s="6">
        <f>IFERROR((General[[#This Row],[Benchmark_Price]]-E40)/E40,0)</f>
        <v>5.6178704125528132E-2</v>
      </c>
      <c r="H41" s="6">
        <f>General[[#This Row],[Fund_Return]]-General[[#This Row],[Bench_Return]]</f>
        <v>5.5803044952652536E-3</v>
      </c>
      <c r="I41">
        <f>I40*(1+General[[#This Row],[Fund_Return]])</f>
        <v>1502.1775653647355</v>
      </c>
      <c r="J41">
        <f>J40*(1+General[[#This Row],[Bench_Return]])</f>
        <v>1415.4507403127388</v>
      </c>
      <c r="K41" s="6">
        <f>(General[[#This Row],[Fund_Price]]-D29)/D29</f>
        <v>0.26304474158243724</v>
      </c>
      <c r="L41" s="6">
        <f>(General[[#This Row],[Benchmark_Price]]-E29)/E29</f>
        <v>0.23912724876080055</v>
      </c>
      <c r="M41">
        <f>MAX(M40,General[[#This Row],[Fund_Price]])</f>
        <v>248.7964172363281</v>
      </c>
      <c r="N41" s="9">
        <f>(General[[#This Row],[Fund_Price]]-General[[#This Row],[Highest Val]])/General[[#This Row],[Highest Val]]</f>
        <v>0</v>
      </c>
    </row>
    <row r="42" spans="3:14" x14ac:dyDescent="0.3">
      <c r="C42" s="3">
        <v>43132</v>
      </c>
      <c r="D42">
        <v>239.74998474121091</v>
      </c>
      <c r="E42">
        <v>2713.830078125</v>
      </c>
      <c r="F42" s="6">
        <f>IFERROR((General[[#This Row],[Fund_Price]]-D41)/D41,0)</f>
        <v>-3.6360782826402649E-2</v>
      </c>
      <c r="G42" s="6">
        <f>IFERROR((General[[#This Row],[Benchmark_Price]]-E41)/E41,0)</f>
        <v>-3.8947371879367747E-2</v>
      </c>
      <c r="H42" s="6">
        <f>General[[#This Row],[Fund_Return]]-General[[#This Row],[Bench_Return]]</f>
        <v>2.5865890529650978E-3</v>
      </c>
      <c r="I42">
        <f>I41*(1+General[[#This Row],[Fund_Return]])</f>
        <v>1447.5572131438141</v>
      </c>
      <c r="J42">
        <f>J41*(1+General[[#This Row],[Bench_Return]])</f>
        <v>1360.3226539528523</v>
      </c>
      <c r="K42" s="6">
        <f>(General[[#This Row],[Fund_Price]]-D30)/D30</f>
        <v>0.17110478512118793</v>
      </c>
      <c r="L42" s="6">
        <f>(General[[#This Row],[Benchmark_Price]]-E30)/E30</f>
        <v>0.14815716499221349</v>
      </c>
      <c r="M42">
        <f>MAX(M41,General[[#This Row],[Fund_Price]])</f>
        <v>248.7964172363281</v>
      </c>
      <c r="N42" s="9">
        <f>(General[[#This Row],[Fund_Price]]-General[[#This Row],[Highest Val]])/General[[#This Row],[Highest Val]]</f>
        <v>-3.6360782826402649E-2</v>
      </c>
    </row>
    <row r="43" spans="3:14" x14ac:dyDescent="0.3">
      <c r="C43" s="3">
        <v>43160</v>
      </c>
      <c r="D43">
        <v>232.24821472167969</v>
      </c>
      <c r="E43">
        <v>2640.8701171875</v>
      </c>
      <c r="F43" s="6">
        <f>IFERROR((General[[#This Row],[Fund_Price]]-D42)/D42,0)</f>
        <v>-3.1289970790316105E-2</v>
      </c>
      <c r="G43" s="6">
        <f>IFERROR((General[[#This Row],[Benchmark_Price]]-E42)/E42,0)</f>
        <v>-2.6884498600556611E-2</v>
      </c>
      <c r="H43" s="6">
        <f>General[[#This Row],[Fund_Return]]-General[[#This Row],[Bench_Return]]</f>
        <v>-4.4054721897594934E-3</v>
      </c>
      <c r="I43">
        <f>I42*(1+General[[#This Row],[Fund_Return]])</f>
        <v>1402.2631902272328</v>
      </c>
      <c r="J43">
        <f>J42*(1+General[[#This Row],[Bench_Return]])</f>
        <v>1323.7510614663513</v>
      </c>
      <c r="K43" s="6">
        <f>(General[[#This Row],[Fund_Price]]-D31)/D31</f>
        <v>0.13797429523789087</v>
      </c>
      <c r="L43" s="6">
        <f>(General[[#This Row],[Benchmark_Price]]-E31)/E31</f>
        <v>0.11772455048983224</v>
      </c>
      <c r="M43">
        <f>MAX(M42,General[[#This Row],[Fund_Price]])</f>
        <v>248.7964172363281</v>
      </c>
      <c r="N43" s="9">
        <f>(General[[#This Row],[Fund_Price]]-General[[#This Row],[Highest Val]])/General[[#This Row],[Highest Val]]</f>
        <v>-6.6513025784167595E-2</v>
      </c>
    </row>
    <row r="44" spans="3:14" x14ac:dyDescent="0.3">
      <c r="C44" s="3">
        <v>43191</v>
      </c>
      <c r="D44">
        <v>234.38349914550781</v>
      </c>
      <c r="E44">
        <v>2648.050048828125</v>
      </c>
      <c r="F44" s="6">
        <f>IFERROR((General[[#This Row],[Fund_Price]]-D43)/D43,0)</f>
        <v>9.1939756195198105E-3</v>
      </c>
      <c r="G44" s="6">
        <f>IFERROR((General[[#This Row],[Benchmark_Price]]-E43)/E43,0)</f>
        <v>2.7187749953684033E-3</v>
      </c>
      <c r="H44" s="6">
        <f>General[[#This Row],[Fund_Return]]-General[[#This Row],[Bench_Return]]</f>
        <v>6.4752006241514072E-3</v>
      </c>
      <c r="I44">
        <f>I43*(1+General[[#This Row],[Fund_Return]])</f>
        <v>1415.1555638103321</v>
      </c>
      <c r="J44">
        <f>J43*(1+General[[#This Row],[Bench_Return]])</f>
        <v>1327.3500427523584</v>
      </c>
      <c r="K44" s="6">
        <f>(General[[#This Row],[Fund_Price]]-D32)/D32</f>
        <v>0.13222333769695255</v>
      </c>
      <c r="L44" s="6">
        <f>(General[[#This Row],[Benchmark_Price]]-E32)/E32</f>
        <v>0.11066609473193016</v>
      </c>
      <c r="M44">
        <f>MAX(M43,General[[#This Row],[Fund_Price]])</f>
        <v>248.7964172363281</v>
      </c>
      <c r="N44" s="9">
        <f>(General[[#This Row],[Fund_Price]]-General[[#This Row],[Highest Val]])/General[[#This Row],[Highest Val]]</f>
        <v>-5.7930569302087911E-2</v>
      </c>
    </row>
    <row r="45" spans="3:14" x14ac:dyDescent="0.3">
      <c r="C45" s="3">
        <v>43221</v>
      </c>
      <c r="D45">
        <v>240.0810852050781</v>
      </c>
      <c r="E45">
        <v>2705.27001953125</v>
      </c>
      <c r="F45" s="6">
        <f>IFERROR((General[[#This Row],[Fund_Price]]-D44)/D44,0)</f>
        <v>2.4308819009623034E-2</v>
      </c>
      <c r="G45" s="6">
        <f>IFERROR((General[[#This Row],[Benchmark_Price]]-E44)/E44,0)</f>
        <v>2.1608341854583629E-2</v>
      </c>
      <c r="H45" s="6">
        <f>General[[#This Row],[Fund_Return]]-General[[#This Row],[Bench_Return]]</f>
        <v>2.7004771550394047E-3</v>
      </c>
      <c r="I45">
        <f>I44*(1+General[[#This Row],[Fund_Return]])</f>
        <v>1449.5563242814585</v>
      </c>
      <c r="J45">
        <f>J44*(1+General[[#This Row],[Bench_Return]])</f>
        <v>1356.0318762368474</v>
      </c>
      <c r="K45" s="6">
        <f>(General[[#This Row],[Fund_Price]]-D33)/D33</f>
        <v>0.14360688881614014</v>
      </c>
      <c r="L45" s="6">
        <f>(General[[#This Row],[Benchmark_Price]]-E33)/E33</f>
        <v>0.12168088761990024</v>
      </c>
      <c r="M45">
        <f>MAX(M44,General[[#This Row],[Fund_Price]])</f>
        <v>248.7964172363281</v>
      </c>
      <c r="N45" s="9">
        <f>(General[[#This Row],[Fund_Price]]-General[[#This Row],[Highest Val]])/General[[#This Row],[Highest Val]]</f>
        <v>-3.5029974016753757E-2</v>
      </c>
    </row>
    <row r="46" spans="3:14" x14ac:dyDescent="0.3">
      <c r="C46" s="3">
        <v>43252</v>
      </c>
      <c r="D46">
        <v>240.38230895996091</v>
      </c>
      <c r="E46">
        <v>2718.3701171875</v>
      </c>
      <c r="F46" s="6">
        <f>IFERROR((General[[#This Row],[Fund_Price]]-D45)/D45,0)</f>
        <v>1.2546750804025486E-3</v>
      </c>
      <c r="G46" s="6">
        <f>IFERROR((General[[#This Row],[Benchmark_Price]]-E45)/E45,0)</f>
        <v>4.8424362676077314E-3</v>
      </c>
      <c r="H46" s="6">
        <f>General[[#This Row],[Fund_Return]]-General[[#This Row],[Bench_Return]]</f>
        <v>-3.5877611872051829E-3</v>
      </c>
      <c r="I46">
        <f>I45*(1+General[[#This Row],[Fund_Return]])</f>
        <v>1451.3750464791744</v>
      </c>
      <c r="J46">
        <f>J45*(1+General[[#This Row],[Bench_Return]])</f>
        <v>1362.5983741743689</v>
      </c>
      <c r="K46" s="6">
        <f>(General[[#This Row],[Fund_Price]]-D34)/D34</f>
        <v>0.1433370659068848</v>
      </c>
      <c r="L46" s="6">
        <f>(General[[#This Row],[Benchmark_Price]]-E34)/E34</f>
        <v>0.12171288216832739</v>
      </c>
      <c r="M46">
        <f>MAX(M45,General[[#This Row],[Fund_Price]])</f>
        <v>248.7964172363281</v>
      </c>
      <c r="N46" s="9">
        <f>(General[[#This Row],[Fund_Price]]-General[[#This Row],[Highest Val]])/General[[#This Row],[Highest Val]]</f>
        <v>-3.3819250171817181E-2</v>
      </c>
    </row>
    <row r="47" spans="3:14" x14ac:dyDescent="0.3">
      <c r="C47" s="3">
        <v>43282</v>
      </c>
      <c r="D47">
        <v>250.40718078613281</v>
      </c>
      <c r="E47">
        <v>2816.2900390625</v>
      </c>
      <c r="F47" s="6">
        <f>IFERROR((General[[#This Row],[Fund_Price]]-D46)/D46,0)</f>
        <v>4.1703866934074955E-2</v>
      </c>
      <c r="G47" s="6">
        <f>IFERROR((General[[#This Row],[Benchmark_Price]]-E46)/E46,0)</f>
        <v>3.6021556172899157E-2</v>
      </c>
      <c r="H47" s="6">
        <f>General[[#This Row],[Fund_Return]]-General[[#This Row],[Bench_Return]]</f>
        <v>5.6823107611757989E-3</v>
      </c>
      <c r="I47">
        <f>I46*(1+General[[#This Row],[Fund_Return]])</f>
        <v>1511.9029982889788</v>
      </c>
      <c r="J47">
        <f>J46*(1+General[[#This Row],[Bench_Return]])</f>
        <v>1411.6812880507921</v>
      </c>
      <c r="K47" s="6">
        <f>(General[[#This Row],[Fund_Price]]-D35)/D35</f>
        <v>0.16136759090258981</v>
      </c>
      <c r="L47" s="6">
        <f>(General[[#This Row],[Benchmark_Price]]-E35)/E35</f>
        <v>0.14005990502996091</v>
      </c>
      <c r="M47">
        <f>MAX(M46,General[[#This Row],[Fund_Price]])</f>
        <v>250.40718078613281</v>
      </c>
      <c r="N47" s="9">
        <f>(General[[#This Row],[Fund_Price]]-General[[#This Row],[Highest Val]])/General[[#This Row],[Highest Val]]</f>
        <v>0</v>
      </c>
    </row>
    <row r="48" spans="3:14" x14ac:dyDescent="0.3">
      <c r="C48" s="3">
        <v>43313</v>
      </c>
      <c r="D48">
        <v>258.40005493164063</v>
      </c>
      <c r="E48">
        <v>2901.52001953125</v>
      </c>
      <c r="F48" s="6">
        <f>IFERROR((General[[#This Row],[Fund_Price]]-D47)/D47,0)</f>
        <v>3.191950853971056E-2</v>
      </c>
      <c r="G48" s="6">
        <f>IFERROR((General[[#This Row],[Benchmark_Price]]-E47)/E47,0)</f>
        <v>3.0263211276748244E-2</v>
      </c>
      <c r="H48" s="6">
        <f>General[[#This Row],[Fund_Return]]-General[[#This Row],[Bench_Return]]</f>
        <v>1.6562972629623161E-3</v>
      </c>
      <c r="I48">
        <f>I47*(1+General[[#This Row],[Fund_Return]])</f>
        <v>1560.1621989540779</v>
      </c>
      <c r="J48">
        <f>J47*(1+General[[#This Row],[Bench_Return]])</f>
        <v>1454.4032971265053</v>
      </c>
      <c r="K48" s="6">
        <f>(General[[#This Row],[Fund_Price]]-D36)/D36</f>
        <v>0.19495115410881156</v>
      </c>
      <c r="L48" s="6">
        <f>(General[[#This Row],[Benchmark_Price]]-E36)/E36</f>
        <v>0.17392030998398045</v>
      </c>
      <c r="M48">
        <f>MAX(M47,General[[#This Row],[Fund_Price]])</f>
        <v>258.40005493164063</v>
      </c>
      <c r="N48" s="9">
        <f>(General[[#This Row],[Fund_Price]]-General[[#This Row],[Highest Val]])/General[[#This Row],[Highest Val]]</f>
        <v>0</v>
      </c>
    </row>
    <row r="49" spans="3:14" x14ac:dyDescent="0.3">
      <c r="C49" s="3">
        <v>43344</v>
      </c>
      <c r="D49">
        <v>258.76504516601563</v>
      </c>
      <c r="E49">
        <v>2913.97998046875</v>
      </c>
      <c r="F49" s="6">
        <f>IFERROR((General[[#This Row],[Fund_Price]]-D48)/D48,0)</f>
        <v>1.41250060674932E-3</v>
      </c>
      <c r="G49" s="6">
        <f>IFERROR((General[[#This Row],[Benchmark_Price]]-E48)/E48,0)</f>
        <v>4.2942874264617166E-3</v>
      </c>
      <c r="H49" s="6">
        <f>General[[#This Row],[Fund_Return]]-General[[#This Row],[Bench_Return]]</f>
        <v>-2.8817868197123968E-3</v>
      </c>
      <c r="I49">
        <f>I48*(1+General[[#This Row],[Fund_Return]])</f>
        <v>1562.365929006728</v>
      </c>
      <c r="J49">
        <f>J48*(1+General[[#This Row],[Bench_Return]])</f>
        <v>1460.6489229183603</v>
      </c>
      <c r="K49" s="6">
        <f>(General[[#This Row],[Fund_Price]]-D37)/D37</f>
        <v>0.1788251944442705</v>
      </c>
      <c r="L49" s="6">
        <f>(General[[#This Row],[Benchmark_Price]]-E37)/E37</f>
        <v>0.15663496134766519</v>
      </c>
      <c r="M49">
        <f>MAX(M48,General[[#This Row],[Fund_Price]])</f>
        <v>258.76504516601563</v>
      </c>
      <c r="N49" s="9">
        <f>(General[[#This Row],[Fund_Price]]-General[[#This Row],[Highest Val]])/General[[#This Row],[Highest Val]]</f>
        <v>0</v>
      </c>
    </row>
    <row r="50" spans="3:14" x14ac:dyDescent="0.3">
      <c r="C50" s="3">
        <v>43374</v>
      </c>
      <c r="D50">
        <v>241.97370910644531</v>
      </c>
      <c r="E50">
        <v>2711.739990234375</v>
      </c>
      <c r="F50" s="6">
        <f>IFERROR((General[[#This Row],[Fund_Price]]-D49)/D49,0)</f>
        <v>-6.4890279321913491E-2</v>
      </c>
      <c r="G50" s="6">
        <f>IFERROR((General[[#This Row],[Benchmark_Price]]-E49)/E49,0)</f>
        <v>-6.9403356093696356E-2</v>
      </c>
      <c r="H50" s="6">
        <f>General[[#This Row],[Fund_Return]]-General[[#This Row],[Bench_Return]]</f>
        <v>4.5130767717828646E-3</v>
      </c>
      <c r="I50">
        <f>I49*(1+General[[#This Row],[Fund_Return]])</f>
        <v>1460.9835674704407</v>
      </c>
      <c r="J50">
        <f>J49*(1+General[[#This Row],[Bench_Return]])</f>
        <v>1359.2749855931831</v>
      </c>
      <c r="K50" s="6">
        <f>(General[[#This Row],[Fund_Price]]-D38)/D38</f>
        <v>7.1634903236531836E-2</v>
      </c>
      <c r="L50" s="6">
        <f>(General[[#This Row],[Benchmark_Price]]-E38)/E38</f>
        <v>5.2996582850355009E-2</v>
      </c>
      <c r="M50">
        <f>MAX(M49,General[[#This Row],[Fund_Price]])</f>
        <v>258.76504516601563</v>
      </c>
      <c r="N50" s="9">
        <f>(General[[#This Row],[Fund_Price]]-General[[#This Row],[Highest Val]])/General[[#This Row],[Highest Val]]</f>
        <v>-6.4890279321913491E-2</v>
      </c>
    </row>
    <row r="51" spans="3:14" x14ac:dyDescent="0.3">
      <c r="C51" s="3">
        <v>43405</v>
      </c>
      <c r="D51">
        <v>246.46211242675781</v>
      </c>
      <c r="E51">
        <v>2760.169921875</v>
      </c>
      <c r="F51" s="6">
        <f>IFERROR((General[[#This Row],[Fund_Price]]-D50)/D50,0)</f>
        <v>1.8549136337526782E-2</v>
      </c>
      <c r="G51" s="6">
        <f>IFERROR((General[[#This Row],[Benchmark_Price]]-E50)/E50,0)</f>
        <v>1.7859356654779876E-2</v>
      </c>
      <c r="H51" s="6">
        <f>General[[#This Row],[Fund_Return]]-General[[#This Row],[Bench_Return]]</f>
        <v>6.8977968274690563E-4</v>
      </c>
      <c r="I51">
        <f>I50*(1+General[[#This Row],[Fund_Return]])</f>
        <v>1488.083550850336</v>
      </c>
      <c r="J51">
        <f>J50*(1+General[[#This Row],[Bench_Return]])</f>
        <v>1383.5507623528124</v>
      </c>
      <c r="K51" s="6">
        <f>(General[[#This Row],[Fund_Price]]-D39)/D39</f>
        <v>5.9139423943869902E-2</v>
      </c>
      <c r="L51" s="6">
        <f>(General[[#This Row],[Benchmark_Price]]-E39)/E39</f>
        <v>4.2525566905509966E-2</v>
      </c>
      <c r="M51">
        <f>MAX(M50,General[[#This Row],[Fund_Price]])</f>
        <v>258.76504516601563</v>
      </c>
      <c r="N51" s="9">
        <f>(General[[#This Row],[Fund_Price]]-General[[#This Row],[Highest Val]])/General[[#This Row],[Highest Val]]</f>
        <v>-4.754480162250907E-2</v>
      </c>
    </row>
    <row r="52" spans="3:14" x14ac:dyDescent="0.3">
      <c r="C52" s="3">
        <v>43435</v>
      </c>
      <c r="D52">
        <v>223.4565734863281</v>
      </c>
      <c r="E52">
        <v>2506.85009765625</v>
      </c>
      <c r="F52" s="6">
        <f>IFERROR((General[[#This Row],[Fund_Price]]-D51)/D51,0)</f>
        <v>-9.3343105412465252E-2</v>
      </c>
      <c r="G52" s="6">
        <f>IFERROR((General[[#This Row],[Benchmark_Price]]-E51)/E51,0)</f>
        <v>-9.1776894679972576E-2</v>
      </c>
      <c r="H52" s="6">
        <f>General[[#This Row],[Fund_Return]]-General[[#This Row],[Bench_Return]]</f>
        <v>-1.5662107324926761E-3</v>
      </c>
      <c r="I52">
        <f>I51*(1+General[[#This Row],[Fund_Return]])</f>
        <v>1349.1812111007575</v>
      </c>
      <c r="J52">
        <f>J51*(1+General[[#This Row],[Bench_Return]])</f>
        <v>1256.5727697519626</v>
      </c>
      <c r="K52" s="6">
        <f>(General[[#This Row],[Fund_Price]]-D40)/D40</f>
        <v>-4.6380841934407023E-2</v>
      </c>
      <c r="L52" s="6">
        <f>(General[[#This Row],[Benchmark_Price]]-E40)/E40</f>
        <v>-6.237259849620682E-2</v>
      </c>
      <c r="M52">
        <f>MAX(M51,General[[#This Row],[Fund_Price]])</f>
        <v>258.76504516601563</v>
      </c>
      <c r="N52" s="9">
        <f>(General[[#This Row],[Fund_Price]]-General[[#This Row],[Highest Val]])/General[[#This Row],[Highest Val]]</f>
        <v>-0.13644992760530972</v>
      </c>
    </row>
    <row r="53" spans="3:14" x14ac:dyDescent="0.3">
      <c r="C53" s="3">
        <v>43466</v>
      </c>
      <c r="D53">
        <v>242.75709533691409</v>
      </c>
      <c r="E53">
        <v>2704.10009765625</v>
      </c>
      <c r="F53" s="6">
        <f>IFERROR((General[[#This Row],[Fund_Price]]-D52)/D52,0)</f>
        <v>8.6372584835893731E-2</v>
      </c>
      <c r="G53" s="6">
        <f>IFERROR((General[[#This Row],[Benchmark_Price]]-E52)/E52,0)</f>
        <v>7.8684401665826201E-2</v>
      </c>
      <c r="H53" s="6">
        <f>General[[#This Row],[Fund_Return]]-General[[#This Row],[Bench_Return]]</f>
        <v>7.6881831700675307E-3</v>
      </c>
      <c r="I53">
        <f>I52*(1+General[[#This Row],[Fund_Return]])</f>
        <v>1465.7134797155518</v>
      </c>
      <c r="J53">
        <f>J52*(1+General[[#This Row],[Bench_Return]])</f>
        <v>1355.4454462894657</v>
      </c>
      <c r="K53" s="6">
        <f>(General[[#This Row],[Fund_Price]]-D41)/D41</f>
        <v>-2.42741513985603E-2</v>
      </c>
      <c r="L53" s="6">
        <f>(General[[#This Row],[Benchmark_Price]]-E41)/E41</f>
        <v>-4.2393064141543306E-2</v>
      </c>
      <c r="M53">
        <f>MAX(M52,General[[#This Row],[Fund_Price]])</f>
        <v>258.76504516601563</v>
      </c>
      <c r="N53" s="9">
        <f>(General[[#This Row],[Fund_Price]]-General[[#This Row],[Highest Val]])/General[[#This Row],[Highest Val]]</f>
        <v>-6.1862875717357151E-2</v>
      </c>
    </row>
    <row r="54" spans="3:14" x14ac:dyDescent="0.3">
      <c r="C54" s="3">
        <v>43497</v>
      </c>
      <c r="D54">
        <v>250.62635803222659</v>
      </c>
      <c r="E54">
        <v>2784.489990234375</v>
      </c>
      <c r="F54" s="6">
        <f>IFERROR((General[[#This Row],[Fund_Price]]-D53)/D53,0)</f>
        <v>3.2416200582689562E-2</v>
      </c>
      <c r="G54" s="6">
        <f>IFERROR((General[[#This Row],[Benchmark_Price]]-E53)/E53,0)</f>
        <v>2.9728889343927055E-2</v>
      </c>
      <c r="H54" s="6">
        <f>General[[#This Row],[Fund_Return]]-General[[#This Row],[Bench_Return]]</f>
        <v>2.6873112387625075E-3</v>
      </c>
      <c r="I54">
        <f>I53*(1+General[[#This Row],[Fund_Return]])</f>
        <v>1513.226341870763</v>
      </c>
      <c r="J54">
        <f>J53*(1+General[[#This Row],[Bench_Return]])</f>
        <v>1395.7413339739353</v>
      </c>
      <c r="K54" s="6">
        <f>(General[[#This Row],[Fund_Price]]-D42)/D42</f>
        <v>4.5365480639157386E-2</v>
      </c>
      <c r="L54" s="6">
        <f>(General[[#This Row],[Benchmark_Price]]-E42)/E42</f>
        <v>2.6036969918984139E-2</v>
      </c>
      <c r="M54">
        <f>MAX(M53,General[[#This Row],[Fund_Price]])</f>
        <v>258.76504516601563</v>
      </c>
      <c r="N54" s="9">
        <f>(General[[#This Row],[Fund_Price]]-General[[#This Row],[Highest Val]])/General[[#This Row],[Highest Val]]</f>
        <v>-3.1452034522543436E-2</v>
      </c>
    </row>
    <row r="55" spans="3:14" x14ac:dyDescent="0.3">
      <c r="C55" s="3">
        <v>43525</v>
      </c>
      <c r="D55">
        <v>254.04386901855469</v>
      </c>
      <c r="E55">
        <v>2834.39990234375</v>
      </c>
      <c r="F55" s="6">
        <f>IFERROR((General[[#This Row],[Fund_Price]]-D54)/D54,0)</f>
        <v>1.3635880173020982E-2</v>
      </c>
      <c r="G55" s="6">
        <f>IFERROR((General[[#This Row],[Benchmark_Price]]-E54)/E54,0)</f>
        <v>1.7924256249588457E-2</v>
      </c>
      <c r="H55" s="6">
        <f>General[[#This Row],[Fund_Return]]-General[[#This Row],[Bench_Return]]</f>
        <v>-4.2883760765674746E-3</v>
      </c>
      <c r="I55">
        <f>I54*(1+General[[#This Row],[Fund_Return]])</f>
        <v>1533.8605149431717</v>
      </c>
      <c r="J55">
        <f>J54*(1+General[[#This Row],[Bench_Return]])</f>
        <v>1420.7589593022267</v>
      </c>
      <c r="K55" s="6">
        <f>(General[[#This Row],[Fund_Price]]-D43)/D43</f>
        <v>9.3846380360746176E-2</v>
      </c>
      <c r="L55" s="6">
        <f>(General[[#This Row],[Benchmark_Price]]-E43)/E43</f>
        <v>7.3282583606329443E-2</v>
      </c>
      <c r="M55">
        <f>MAX(M54,General[[#This Row],[Fund_Price]])</f>
        <v>258.76504516601563</v>
      </c>
      <c r="N55" s="9">
        <f>(General[[#This Row],[Fund_Price]]-General[[#This Row],[Highest Val]])/General[[#This Row],[Highest Val]]</f>
        <v>-1.8245030523469572E-2</v>
      </c>
    </row>
    <row r="56" spans="3:14" x14ac:dyDescent="0.3">
      <c r="C56" s="3">
        <v>43556</v>
      </c>
      <c r="D56">
        <v>265.58682250976563</v>
      </c>
      <c r="E56">
        <v>2945.830078125</v>
      </c>
      <c r="F56" s="6">
        <f>IFERROR((General[[#This Row],[Fund_Price]]-D55)/D55,0)</f>
        <v>4.5436851264329746E-2</v>
      </c>
      <c r="G56" s="6">
        <f>IFERROR((General[[#This Row],[Benchmark_Price]]-E55)/E55,0)</f>
        <v>3.9313498313737941E-2</v>
      </c>
      <c r="H56" s="6">
        <f>General[[#This Row],[Fund_Return]]-General[[#This Row],[Bench_Return]]</f>
        <v>6.1233529505918052E-3</v>
      </c>
      <c r="I56">
        <f>I55*(1+General[[#This Row],[Fund_Return]])</f>
        <v>1603.5543070208728</v>
      </c>
      <c r="J56">
        <f>J55*(1+General[[#This Row],[Bench_Return]])</f>
        <v>1476.6139642529829</v>
      </c>
      <c r="K56" s="6">
        <f>(General[[#This Row],[Fund_Price]]-D44)/D44</f>
        <v>0.13312935201503434</v>
      </c>
      <c r="L56" s="6">
        <f>(General[[#This Row],[Benchmark_Price]]-E44)/E44</f>
        <v>0.11245256842054603</v>
      </c>
      <c r="M56">
        <f>MAX(M55,General[[#This Row],[Fund_Price]])</f>
        <v>265.58682250976563</v>
      </c>
      <c r="N56" s="9">
        <f>(General[[#This Row],[Fund_Price]]-General[[#This Row],[Highest Val]])/General[[#This Row],[Highest Val]]</f>
        <v>0</v>
      </c>
    </row>
    <row r="57" spans="3:14" x14ac:dyDescent="0.3">
      <c r="C57" s="3">
        <v>43586</v>
      </c>
      <c r="D57">
        <v>248.6499938964844</v>
      </c>
      <c r="E57">
        <v>2752.06005859375</v>
      </c>
      <c r="F57" s="6">
        <f>IFERROR((General[[#This Row],[Fund_Price]]-D56)/D56,0)</f>
        <v>-6.3771343974185518E-2</v>
      </c>
      <c r="G57" s="6">
        <f>IFERROR((General[[#This Row],[Benchmark_Price]]-E56)/E56,0)</f>
        <v>-6.5777731366835401E-2</v>
      </c>
      <c r="H57" s="6">
        <f>General[[#This Row],[Fund_Return]]-General[[#This Row],[Bench_Return]]</f>
        <v>2.0063873926498832E-3</v>
      </c>
      <c r="I57">
        <f>I56*(1+General[[#This Row],[Fund_Return]])</f>
        <v>1501.2934937265582</v>
      </c>
      <c r="J57">
        <f>J56*(1+General[[#This Row],[Bench_Return]])</f>
        <v>1379.4856475798324</v>
      </c>
      <c r="K57" s="6">
        <f>(General[[#This Row],[Fund_Price]]-D45)/D45</f>
        <v>3.5691727584814585E-2</v>
      </c>
      <c r="L57" s="6">
        <f>(General[[#This Row],[Benchmark_Price]]-E45)/E45</f>
        <v>1.729588496700505E-2</v>
      </c>
      <c r="M57">
        <f>MAX(M56,General[[#This Row],[Fund_Price]])</f>
        <v>265.58682250976563</v>
      </c>
      <c r="N57" s="9">
        <f>(General[[#This Row],[Fund_Price]]-General[[#This Row],[Highest Val]])/General[[#This Row],[Highest Val]]</f>
        <v>-6.3771343974185518E-2</v>
      </c>
    </row>
    <row r="58" spans="3:14" x14ac:dyDescent="0.3">
      <c r="C58" s="3">
        <v>43617</v>
      </c>
      <c r="D58">
        <v>264.66543579101563</v>
      </c>
      <c r="E58">
        <v>2941.760009765625</v>
      </c>
      <c r="F58" s="6">
        <f>IFERROR((General[[#This Row],[Fund_Price]]-D57)/D57,0)</f>
        <v>6.4409580887416468E-2</v>
      </c>
      <c r="G58" s="6">
        <f>IFERROR((General[[#This Row],[Benchmark_Price]]-E57)/E57,0)</f>
        <v>6.8930163998240659E-2</v>
      </c>
      <c r="H58" s="6">
        <f>General[[#This Row],[Fund_Return]]-General[[#This Row],[Bench_Return]]</f>
        <v>-4.5205831108241917E-3</v>
      </c>
      <c r="I58">
        <f>I57*(1+General[[#This Row],[Fund_Return]])</f>
        <v>1597.9911784464912</v>
      </c>
      <c r="J58">
        <f>J57*(1+General[[#This Row],[Bench_Return]])</f>
        <v>1474.5738195007295</v>
      </c>
      <c r="K58" s="6">
        <f>(General[[#This Row],[Fund_Price]]-D46)/D46</f>
        <v>0.10101877686472932</v>
      </c>
      <c r="L58" s="6">
        <f>(General[[#This Row],[Benchmark_Price]]-E46)/E46</f>
        <v>8.2177879739661897E-2</v>
      </c>
      <c r="M58">
        <f>MAX(M57,General[[#This Row],[Fund_Price]])</f>
        <v>265.58682250976563</v>
      </c>
      <c r="N58" s="9">
        <f>(General[[#This Row],[Fund_Price]]-General[[#This Row],[Highest Val]])/General[[#This Row],[Highest Val]]</f>
        <v>-3.4692486247736203E-3</v>
      </c>
    </row>
    <row r="59" spans="3:14" x14ac:dyDescent="0.3">
      <c r="C59" s="3">
        <v>43647</v>
      </c>
      <c r="D59">
        <v>269.97372436523438</v>
      </c>
      <c r="E59">
        <v>2980.3798828125</v>
      </c>
      <c r="F59" s="6">
        <f>IFERROR((General[[#This Row],[Fund_Price]]-D58)/D58,0)</f>
        <v>2.0056599224427121E-2</v>
      </c>
      <c r="G59" s="6">
        <f>IFERROR((General[[#This Row],[Benchmark_Price]]-E58)/E58,0)</f>
        <v>1.3128152166958007E-2</v>
      </c>
      <c r="H59" s="6">
        <f>General[[#This Row],[Fund_Return]]-General[[#This Row],[Bench_Return]]</f>
        <v>6.9284470574691136E-3</v>
      </c>
      <c r="I59">
        <f>I58*(1+General[[#This Row],[Fund_Return]])</f>
        <v>1630.0414470767623</v>
      </c>
      <c r="J59">
        <f>J58*(1+General[[#This Row],[Bench_Return]])</f>
        <v>1493.9322489845474</v>
      </c>
      <c r="K59" s="6">
        <f>(General[[#This Row],[Fund_Price]]-D47)/D47</f>
        <v>7.8138907668997365E-2</v>
      </c>
      <c r="L59" s="6">
        <f>(General[[#This Row],[Benchmark_Price]]-E47)/E47</f>
        <v>5.8264540041700751E-2</v>
      </c>
      <c r="M59">
        <f>MAX(M58,General[[#This Row],[Fund_Price]])</f>
        <v>269.97372436523438</v>
      </c>
      <c r="N59" s="9">
        <f>(General[[#This Row],[Fund_Price]]-General[[#This Row],[Highest Val]])/General[[#This Row],[Highest Val]]</f>
        <v>0</v>
      </c>
    </row>
    <row r="60" spans="3:14" x14ac:dyDescent="0.3">
      <c r="C60" s="3">
        <v>43678</v>
      </c>
      <c r="D60">
        <v>265.4534912109375</v>
      </c>
      <c r="E60">
        <v>2926.4599609375</v>
      </c>
      <c r="F60" s="6">
        <f>IFERROR((General[[#This Row],[Fund_Price]]-D59)/D59,0)</f>
        <v>-1.6743233679221578E-2</v>
      </c>
      <c r="G60" s="6">
        <f>IFERROR((General[[#This Row],[Benchmark_Price]]-E59)/E59,0)</f>
        <v>-1.8091627240523881E-2</v>
      </c>
      <c r="H60" s="6">
        <f>General[[#This Row],[Fund_Return]]-General[[#This Row],[Bench_Return]]</f>
        <v>1.3483935613023031E-3</v>
      </c>
      <c r="I60">
        <f>I59*(1+General[[#This Row],[Fund_Return]])</f>
        <v>1602.7492822215395</v>
      </c>
      <c r="J60">
        <f>J59*(1+General[[#This Row],[Bench_Return]])</f>
        <v>1466.9045836133214</v>
      </c>
      <c r="K60" s="6">
        <f>(General[[#This Row],[Fund_Price]]-D48)/D48</f>
        <v>2.7296574225430609E-2</v>
      </c>
      <c r="L60" s="6">
        <f>(General[[#This Row],[Benchmark_Price]]-E48)/E48</f>
        <v>8.5954745231360246E-3</v>
      </c>
      <c r="M60">
        <f>MAX(M59,General[[#This Row],[Fund_Price]])</f>
        <v>269.97372436523438</v>
      </c>
      <c r="N60" s="9">
        <f>(General[[#This Row],[Fund_Price]]-General[[#This Row],[Highest Val]])/General[[#This Row],[Highest Val]]</f>
        <v>-1.6743233679221578E-2</v>
      </c>
    </row>
    <row r="61" spans="3:14" x14ac:dyDescent="0.3">
      <c r="C61" s="3">
        <v>43709</v>
      </c>
      <c r="D61">
        <v>269.37472534179688</v>
      </c>
      <c r="E61">
        <v>2976.739990234375</v>
      </c>
      <c r="F61" s="6">
        <f>IFERROR((General[[#This Row],[Fund_Price]]-D60)/D60,0)</f>
        <v>1.4771831076591274E-2</v>
      </c>
      <c r="G61" s="6">
        <f>IFERROR((General[[#This Row],[Benchmark_Price]]-E60)/E60,0)</f>
        <v>1.7181177931020676E-2</v>
      </c>
      <c r="H61" s="6">
        <f>General[[#This Row],[Fund_Return]]-General[[#This Row],[Bench_Return]]</f>
        <v>-2.4093468544294019E-3</v>
      </c>
      <c r="I61">
        <f>I60*(1+General[[#This Row],[Fund_Return]])</f>
        <v>1626.4248238766438</v>
      </c>
      <c r="J61">
        <f>J60*(1+General[[#This Row],[Bench_Return]])</f>
        <v>1492.1077322722117</v>
      </c>
      <c r="K61" s="6">
        <f>(General[[#This Row],[Fund_Price]]-D49)/D49</f>
        <v>4.1001210843506351E-2</v>
      </c>
      <c r="L61" s="6">
        <f>(General[[#This Row],[Benchmark_Price]]-E49)/E49</f>
        <v>2.1537556944893378E-2</v>
      </c>
      <c r="M61">
        <f>MAX(M60,General[[#This Row],[Fund_Price]])</f>
        <v>269.97372436523438</v>
      </c>
      <c r="N61" s="9">
        <f>(General[[#This Row],[Fund_Price]]-General[[#This Row],[Highest Val]])/General[[#This Row],[Highest Val]]</f>
        <v>-2.2187308222156583E-3</v>
      </c>
    </row>
    <row r="62" spans="3:14" x14ac:dyDescent="0.3">
      <c r="C62" s="3">
        <v>43739</v>
      </c>
      <c r="D62">
        <v>276.6005859375</v>
      </c>
      <c r="E62">
        <v>3037.56005859375</v>
      </c>
      <c r="F62" s="6">
        <f>IFERROR((General[[#This Row],[Fund_Price]]-D61)/D61,0)</f>
        <v>2.6824567845162798E-2</v>
      </c>
      <c r="G62" s="6">
        <f>IFERROR((General[[#This Row],[Benchmark_Price]]-E61)/E61,0)</f>
        <v>2.0431770513684101E-2</v>
      </c>
      <c r="H62" s="6">
        <f>General[[#This Row],[Fund_Return]]-General[[#This Row],[Bench_Return]]</f>
        <v>6.3927973314786973E-3</v>
      </c>
      <c r="I62">
        <f>I61*(1+General[[#This Row],[Fund_Return]])</f>
        <v>1670.0529669097798</v>
      </c>
      <c r="J62">
        <f>J61*(1+General[[#This Row],[Bench_Return]])</f>
        <v>1522.5941350396911</v>
      </c>
      <c r="K62" s="6">
        <f>(General[[#This Row],[Fund_Price]]-D50)/D50</f>
        <v>0.14310181448606124</v>
      </c>
      <c r="L62" s="6">
        <f>(General[[#This Row],[Benchmark_Price]]-E50)/E50</f>
        <v>0.12015166259771626</v>
      </c>
      <c r="M62">
        <f>MAX(M61,General[[#This Row],[Fund_Price]])</f>
        <v>276.6005859375</v>
      </c>
      <c r="N62" s="9">
        <f>(General[[#This Row],[Fund_Price]]-General[[#This Row],[Highest Val]])/General[[#This Row],[Highest Val]]</f>
        <v>0</v>
      </c>
    </row>
    <row r="63" spans="3:14" x14ac:dyDescent="0.3">
      <c r="C63" s="3">
        <v>43770</v>
      </c>
      <c r="D63">
        <v>286.61312866210938</v>
      </c>
      <c r="E63">
        <v>3140.97998046875</v>
      </c>
      <c r="F63" s="6">
        <f>IFERROR((General[[#This Row],[Fund_Price]]-D62)/D62,0)</f>
        <v>3.6198559343875669E-2</v>
      </c>
      <c r="G63" s="6">
        <f>IFERROR((General[[#This Row],[Benchmark_Price]]-E62)/E62,0)</f>
        <v>3.404703771449992E-2</v>
      </c>
      <c r="H63" s="6">
        <f>General[[#This Row],[Fund_Return]]-General[[#This Row],[Bench_Return]]</f>
        <v>2.1515216293757494E-3</v>
      </c>
      <c r="I63">
        <f>I62*(1+General[[#This Row],[Fund_Return]])</f>
        <v>1730.5064783398791</v>
      </c>
      <c r="J63">
        <f>J62*(1+General[[#This Row],[Bench_Return]])</f>
        <v>1574.4339549792637</v>
      </c>
      <c r="K63" s="6">
        <f>(General[[#This Row],[Fund_Price]]-D51)/D51</f>
        <v>0.16290948673615466</v>
      </c>
      <c r="L63" s="6">
        <f>(General[[#This Row],[Benchmark_Price]]-E51)/E51</f>
        <v>0.13796616490011726</v>
      </c>
      <c r="M63">
        <f>MAX(M62,General[[#This Row],[Fund_Price]])</f>
        <v>286.61312866210938</v>
      </c>
      <c r="N63" s="9">
        <f>(General[[#This Row],[Fund_Price]]-General[[#This Row],[Highest Val]])/General[[#This Row],[Highest Val]]</f>
        <v>0</v>
      </c>
    </row>
    <row r="64" spans="3:14" x14ac:dyDescent="0.3">
      <c r="C64" s="3">
        <v>43800</v>
      </c>
      <c r="D64">
        <v>293.49777221679688</v>
      </c>
      <c r="E64">
        <v>3230.780029296875</v>
      </c>
      <c r="F64" s="6">
        <f>IFERROR((General[[#This Row],[Fund_Price]]-D63)/D63,0)</f>
        <v>2.4020684561187229E-2</v>
      </c>
      <c r="G64" s="6">
        <f>IFERROR((General[[#This Row],[Benchmark_Price]]-E63)/E63,0)</f>
        <v>2.8589818905730029E-2</v>
      </c>
      <c r="H64" s="6">
        <f>General[[#This Row],[Fund_Return]]-General[[#This Row],[Bench_Return]]</f>
        <v>-4.5691343445427995E-3</v>
      </c>
      <c r="I64">
        <f>I63*(1+General[[#This Row],[Fund_Return]])</f>
        <v>1772.0744285871724</v>
      </c>
      <c r="J64">
        <f>J63*(1+General[[#This Row],[Bench_Return]])</f>
        <v>1619.4467366311533</v>
      </c>
      <c r="K64" s="6">
        <f>(General[[#This Row],[Fund_Price]]-D52)/D52</f>
        <v>0.31344434239592489</v>
      </c>
      <c r="L64" s="6">
        <f>(General[[#This Row],[Benchmark_Price]]-E52)/E52</f>
        <v>0.28878070225158448</v>
      </c>
      <c r="M64">
        <f>MAX(M63,General[[#This Row],[Fund_Price]])</f>
        <v>293.49777221679688</v>
      </c>
      <c r="N64" s="9">
        <f>(General[[#This Row],[Fund_Price]]-General[[#This Row],[Highest Val]])/General[[#This Row],[Highest Val]]</f>
        <v>0</v>
      </c>
    </row>
    <row r="65" spans="3:14" x14ac:dyDescent="0.3">
      <c r="C65" s="3">
        <v>43831</v>
      </c>
      <c r="D65">
        <v>294.8216552734375</v>
      </c>
      <c r="E65">
        <v>3225.52001953125</v>
      </c>
      <c r="F65" s="6">
        <f>IFERROR((General[[#This Row],[Fund_Price]]-D64)/D64,0)</f>
        <v>4.5107090477767486E-3</v>
      </c>
      <c r="G65" s="6">
        <f>IFERROR((General[[#This Row],[Benchmark_Price]]-E64)/E64,0)</f>
        <v>-1.6280928190489504E-3</v>
      </c>
      <c r="H65" s="6">
        <f>General[[#This Row],[Fund_Return]]-General[[#This Row],[Bench_Return]]</f>
        <v>6.138801866825699E-3</v>
      </c>
      <c r="I65">
        <f>I64*(1+General[[#This Row],[Fund_Return]])</f>
        <v>1780.0677407455344</v>
      </c>
      <c r="J65">
        <f>J64*(1+General[[#This Row],[Bench_Return]])</f>
        <v>1616.8101270284119</v>
      </c>
      <c r="K65" s="6">
        <f>(General[[#This Row],[Fund_Price]]-D53)/D53</f>
        <v>0.21447183599006581</v>
      </c>
      <c r="L65" s="6">
        <f>(General[[#This Row],[Benchmark_Price]]-E53)/E53</f>
        <v>0.19282567325334413</v>
      </c>
      <c r="M65">
        <f>MAX(M64,General[[#This Row],[Fund_Price]])</f>
        <v>294.8216552734375</v>
      </c>
      <c r="N65" s="9">
        <f>(General[[#This Row],[Fund_Price]]-General[[#This Row],[Highest Val]])/General[[#This Row],[Highest Val]]</f>
        <v>0</v>
      </c>
    </row>
    <row r="66" spans="3:14" x14ac:dyDescent="0.3">
      <c r="C66" s="3">
        <v>43862</v>
      </c>
      <c r="D66">
        <v>271.48187255859381</v>
      </c>
      <c r="E66">
        <v>2954.219970703125</v>
      </c>
      <c r="F66" s="6">
        <f>IFERROR((General[[#This Row],[Fund_Price]]-D65)/D65,0)</f>
        <v>-7.9165767837497569E-2</v>
      </c>
      <c r="G66" s="6">
        <f>IFERROR((General[[#This Row],[Benchmark_Price]]-E65)/E65,0)</f>
        <v>-8.411048363840315E-2</v>
      </c>
      <c r="H66" s="6">
        <f>General[[#This Row],[Fund_Return]]-General[[#This Row],[Bench_Return]]</f>
        <v>4.9447158009055803E-3</v>
      </c>
      <c r="I66">
        <f>I65*(1+General[[#This Row],[Fund_Return]])</f>
        <v>1639.1473112466547</v>
      </c>
      <c r="J66">
        <f>J65*(1+General[[#This Row],[Bench_Return]])</f>
        <v>1480.8194452925841</v>
      </c>
      <c r="K66" s="6">
        <f>(General[[#This Row],[Fund_Price]]-D54)/D54</f>
        <v>8.321357214824758E-2</v>
      </c>
      <c r="L66" s="6">
        <f>(General[[#This Row],[Benchmark_Price]]-E54)/E54</f>
        <v>6.0955500312092542E-2</v>
      </c>
      <c r="M66">
        <f>MAX(M65,General[[#This Row],[Fund_Price]])</f>
        <v>294.8216552734375</v>
      </c>
      <c r="N66" s="9">
        <f>(General[[#This Row],[Fund_Price]]-General[[#This Row],[Highest Val]])/General[[#This Row],[Highest Val]]</f>
        <v>-7.9165767837497569E-2</v>
      </c>
    </row>
    <row r="67" spans="3:14" x14ac:dyDescent="0.3">
      <c r="C67" s="3">
        <v>43891</v>
      </c>
      <c r="D67">
        <v>236.19270324707031</v>
      </c>
      <c r="E67">
        <v>2584.590087890625</v>
      </c>
      <c r="F67" s="6">
        <f>IFERROR((General[[#This Row],[Fund_Price]]-D66)/D66,0)</f>
        <v>-0.12998720311945339</v>
      </c>
      <c r="G67" s="6">
        <f>IFERROR((General[[#This Row],[Benchmark_Price]]-E66)/E66,0)</f>
        <v>-0.12511928240892825</v>
      </c>
      <c r="H67" s="6">
        <f>General[[#This Row],[Fund_Return]]-General[[#This Row],[Bench_Return]]</f>
        <v>-4.8679207105251365E-3</v>
      </c>
      <c r="I67">
        <f>I66*(1+General[[#This Row],[Fund_Return]])</f>
        <v>1426.07913675693</v>
      </c>
      <c r="J67">
        <f>J66*(1+General[[#This Row],[Bench_Return]])</f>
        <v>1295.5403789203888</v>
      </c>
      <c r="K67" s="6">
        <f>(General[[#This Row],[Fund_Price]]-D55)/D55</f>
        <v>-7.0268044021092171E-2</v>
      </c>
      <c r="L67" s="6">
        <f>(General[[#This Row],[Benchmark_Price]]-E55)/E55</f>
        <v>-8.813499261221347E-2</v>
      </c>
      <c r="M67">
        <f>MAX(M66,General[[#This Row],[Fund_Price]])</f>
        <v>294.8216552734375</v>
      </c>
      <c r="N67" s="9">
        <f>(General[[#This Row],[Fund_Price]]-General[[#This Row],[Highest Val]])/General[[#This Row],[Highest Val]]</f>
        <v>-0.19886243421295069</v>
      </c>
    </row>
    <row r="68" spans="3:14" x14ac:dyDescent="0.3">
      <c r="C68" s="3">
        <v>43922</v>
      </c>
      <c r="D68">
        <v>267.75045776367188</v>
      </c>
      <c r="E68">
        <v>2912.429931640625</v>
      </c>
      <c r="F68" s="6">
        <f>IFERROR((General[[#This Row],[Fund_Price]]-D67)/D67,0)</f>
        <v>0.13361020083499553</v>
      </c>
      <c r="G68" s="6">
        <f>IFERROR((General[[#This Row],[Benchmark_Price]]-E67)/E67,0)</f>
        <v>0.12684403816527889</v>
      </c>
      <c r="H68" s="6">
        <f>General[[#This Row],[Fund_Return]]-General[[#This Row],[Bench_Return]]</f>
        <v>6.7661626697166355E-3</v>
      </c>
      <c r="I68">
        <f>I67*(1+General[[#This Row],[Fund_Return]])</f>
        <v>1616.6178566256206</v>
      </c>
      <c r="J68">
        <f>J67*(1+General[[#This Row],[Bench_Return]])</f>
        <v>1459.8719521888265</v>
      </c>
      <c r="K68" s="6">
        <f>(General[[#This Row],[Fund_Price]]-D56)/D56</f>
        <v>8.1466212572602059E-3</v>
      </c>
      <c r="L68" s="6">
        <f>(General[[#This Row],[Benchmark_Price]]-E56)/E56</f>
        <v>-1.1338110345330561E-2</v>
      </c>
      <c r="M68">
        <f>MAX(M67,General[[#This Row],[Fund_Price]])</f>
        <v>294.8216552734375</v>
      </c>
      <c r="N68" s="9">
        <f>(General[[#This Row],[Fund_Price]]-General[[#This Row],[Highest Val]])/General[[#This Row],[Highest Val]]</f>
        <v>-9.1822283151683587E-2</v>
      </c>
    </row>
    <row r="69" spans="3:14" x14ac:dyDescent="0.3">
      <c r="C69" s="3">
        <v>43952</v>
      </c>
      <c r="D69">
        <v>280.507568359375</v>
      </c>
      <c r="E69">
        <v>3044.31005859375</v>
      </c>
      <c r="F69" s="6">
        <f>IFERROR((General[[#This Row],[Fund_Price]]-D68)/D68,0)</f>
        <v>4.7645523007707059E-2</v>
      </c>
      <c r="G69" s="6">
        <f>IFERROR((General[[#This Row],[Benchmark_Price]]-E68)/E68,0)</f>
        <v>4.5281819665558276E-2</v>
      </c>
      <c r="H69" s="6">
        <f>General[[#This Row],[Fund_Return]]-General[[#This Row],[Bench_Return]]</f>
        <v>2.3637033421487832E-3</v>
      </c>
      <c r="I69">
        <f>I68*(1+General[[#This Row],[Fund_Return]])</f>
        <v>1693.6424599081467</v>
      </c>
      <c r="J69">
        <f>J68*(1+General[[#This Row],[Bench_Return]])</f>
        <v>1525.9776106626473</v>
      </c>
      <c r="K69" s="6">
        <f>(General[[#This Row],[Fund_Price]]-D57)/D57</f>
        <v>0.12812216064703882</v>
      </c>
      <c r="L69" s="6">
        <f>(General[[#This Row],[Benchmark_Price]]-E57)/E57</f>
        <v>0.10619317666683994</v>
      </c>
      <c r="M69">
        <f>MAX(M68,General[[#This Row],[Fund_Price]])</f>
        <v>294.8216552734375</v>
      </c>
      <c r="N69" s="9">
        <f>(General[[#This Row],[Fund_Price]]-General[[#This Row],[Highest Val]])/General[[#This Row],[Highest Val]]</f>
        <v>-4.8551680848500256E-2</v>
      </c>
    </row>
    <row r="70" spans="3:14" x14ac:dyDescent="0.3">
      <c r="C70" s="3">
        <v>43983</v>
      </c>
      <c r="D70">
        <v>284.23135375976563</v>
      </c>
      <c r="E70">
        <v>3100.2900390625</v>
      </c>
      <c r="F70" s="6">
        <f>IFERROR((General[[#This Row],[Fund_Price]]-D69)/D69,0)</f>
        <v>1.3275169087843866E-2</v>
      </c>
      <c r="G70" s="6">
        <f>IFERROR((General[[#This Row],[Benchmark_Price]]-E69)/E69,0)</f>
        <v>1.83883965139243E-2</v>
      </c>
      <c r="H70" s="6">
        <f>General[[#This Row],[Fund_Return]]-General[[#This Row],[Bench_Return]]</f>
        <v>-5.1132274260804345E-3</v>
      </c>
      <c r="I70">
        <f>I69*(1+General[[#This Row],[Fund_Return]])</f>
        <v>1716.1258499377793</v>
      </c>
      <c r="J70">
        <f>J69*(1+General[[#This Row],[Bench_Return]])</f>
        <v>1554.0378920388828</v>
      </c>
      <c r="K70" s="6">
        <f>(General[[#This Row],[Fund_Price]]-D58)/D58</f>
        <v>7.3926986008855292E-2</v>
      </c>
      <c r="L70" s="6">
        <f>(General[[#This Row],[Benchmark_Price]]-E58)/E58</f>
        <v>5.3889518101616102E-2</v>
      </c>
      <c r="M70">
        <f>MAX(M69,General[[#This Row],[Fund_Price]])</f>
        <v>294.8216552734375</v>
      </c>
      <c r="N70" s="9">
        <f>(General[[#This Row],[Fund_Price]]-General[[#This Row],[Highest Val]])/General[[#This Row],[Highest Val]]</f>
        <v>-3.592104353341926E-2</v>
      </c>
    </row>
    <row r="71" spans="3:14" x14ac:dyDescent="0.3">
      <c r="C71" s="3">
        <v>44013</v>
      </c>
      <c r="D71">
        <v>302.29483032226563</v>
      </c>
      <c r="E71">
        <v>3271.1201171875</v>
      </c>
      <c r="F71" s="6">
        <f>IFERROR((General[[#This Row],[Fund_Price]]-D70)/D70,0)</f>
        <v>6.3552019590939923E-2</v>
      </c>
      <c r="G71" s="6">
        <f>IFERROR((General[[#This Row],[Benchmark_Price]]-E70)/E70,0)</f>
        <v>5.5101321480443645E-2</v>
      </c>
      <c r="H71" s="6">
        <f>General[[#This Row],[Fund_Return]]-General[[#This Row],[Bench_Return]]</f>
        <v>8.4506981104962783E-3</v>
      </c>
      <c r="I71">
        <f>I70*(1+General[[#This Row],[Fund_Return]])</f>
        <v>1825.1891135735436</v>
      </c>
      <c r="J71">
        <f>J70*(1+General[[#This Row],[Bench_Return]])</f>
        <v>1639.6674335209082</v>
      </c>
      <c r="K71" s="6">
        <f>(General[[#This Row],[Fund_Price]]-D59)/D59</f>
        <v>0.11971945059847969</v>
      </c>
      <c r="L71" s="6">
        <f>(General[[#This Row],[Benchmark_Price]]-E59)/E59</f>
        <v>9.7551401434315371E-2</v>
      </c>
      <c r="M71">
        <f>MAX(M70,General[[#This Row],[Fund_Price]])</f>
        <v>302.29483032226563</v>
      </c>
      <c r="N71" s="9">
        <f>(General[[#This Row],[Fund_Price]]-General[[#This Row],[Highest Val]])/General[[#This Row],[Highest Val]]</f>
        <v>0</v>
      </c>
    </row>
    <row r="72" spans="3:14" x14ac:dyDescent="0.3">
      <c r="C72" s="3">
        <v>44044</v>
      </c>
      <c r="D72">
        <v>323.39404296875</v>
      </c>
      <c r="E72">
        <v>3500.31005859375</v>
      </c>
      <c r="F72" s="6">
        <f>IFERROR((General[[#This Row],[Fund_Price]]-D71)/D71,0)</f>
        <v>6.9796802757067539E-2</v>
      </c>
      <c r="G72" s="6">
        <f>IFERROR((General[[#This Row],[Benchmark_Price]]-E71)/E71,0)</f>
        <v>7.0064666901717712E-2</v>
      </c>
      <c r="H72" s="6">
        <f>General[[#This Row],[Fund_Return]]-General[[#This Row],[Bench_Return]]</f>
        <v>-2.6786414465017339E-4</v>
      </c>
      <c r="I72">
        <f>I71*(1+General[[#This Row],[Fund_Return]])</f>
        <v>1952.581478127983</v>
      </c>
      <c r="J72">
        <f>J71*(1+General[[#This Row],[Bench_Return]])</f>
        <v>1754.5501860801451</v>
      </c>
      <c r="K72" s="6">
        <f>(General[[#This Row],[Fund_Price]]-D60)/D60</f>
        <v>0.21827006867945525</v>
      </c>
      <c r="L72" s="6">
        <f>(General[[#This Row],[Benchmark_Price]]-E60)/E60</f>
        <v>0.19609019269561967</v>
      </c>
      <c r="M72">
        <f>MAX(M71,General[[#This Row],[Fund_Price]])</f>
        <v>323.39404296875</v>
      </c>
      <c r="N72" s="9">
        <f>(General[[#This Row],[Fund_Price]]-General[[#This Row],[Highest Val]])/General[[#This Row],[Highest Val]]</f>
        <v>0</v>
      </c>
    </row>
    <row r="73" spans="3:14" x14ac:dyDescent="0.3">
      <c r="C73" s="3">
        <v>44075</v>
      </c>
      <c r="D73">
        <v>310.04388427734381</v>
      </c>
      <c r="E73">
        <v>3363</v>
      </c>
      <c r="F73" s="6">
        <f>IFERROR((General[[#This Row],[Fund_Price]]-D72)/D72,0)</f>
        <v>-4.1281399523788495E-2</v>
      </c>
      <c r="G73" s="6">
        <f>IFERROR((General[[#This Row],[Benchmark_Price]]-E72)/E72,0)</f>
        <v>-3.922797017842309E-2</v>
      </c>
      <c r="H73" s="6">
        <f>General[[#This Row],[Fund_Return]]-General[[#This Row],[Bench_Return]]</f>
        <v>-2.0534293453654054E-3</v>
      </c>
      <c r="I73">
        <f>I72*(1+General[[#This Row],[Fund_Return]])</f>
        <v>1871.9761820266322</v>
      </c>
      <c r="J73">
        <f>J72*(1+General[[#This Row],[Bench_Return]])</f>
        <v>1685.7227437040465</v>
      </c>
      <c r="K73" s="6">
        <f>(General[[#This Row],[Fund_Price]]-D61)/D61</f>
        <v>0.15097614998565198</v>
      </c>
      <c r="L73" s="6">
        <f>(General[[#This Row],[Benchmark_Price]]-E61)/E61</f>
        <v>0.12975940493049667</v>
      </c>
      <c r="M73">
        <f>MAX(M72,General[[#This Row],[Fund_Price]])</f>
        <v>323.39404296875</v>
      </c>
      <c r="N73" s="9">
        <f>(General[[#This Row],[Fund_Price]]-General[[#This Row],[Highest Val]])/General[[#This Row],[Highest Val]]</f>
        <v>-4.1281399523788495E-2</v>
      </c>
    </row>
    <row r="74" spans="3:14" x14ac:dyDescent="0.3">
      <c r="C74" s="3">
        <v>44105</v>
      </c>
      <c r="D74">
        <v>303.52349853515619</v>
      </c>
      <c r="E74">
        <v>3269.9599609375</v>
      </c>
      <c r="F74" s="6">
        <f>IFERROR((General[[#This Row],[Fund_Price]]-D73)/D73,0)</f>
        <v>-2.1030525267045512E-2</v>
      </c>
      <c r="G74" s="6">
        <f>IFERROR((General[[#This Row],[Benchmark_Price]]-E73)/E73,0)</f>
        <v>-2.7665786221379721E-2</v>
      </c>
      <c r="H74" s="6">
        <f>General[[#This Row],[Fund_Return]]-General[[#This Row],[Bench_Return]]</f>
        <v>6.6352609543342093E-3</v>
      </c>
      <c r="I74">
        <f>I73*(1+General[[#This Row],[Fund_Return]])</f>
        <v>1832.6075396312137</v>
      </c>
      <c r="J74">
        <f>J73*(1+General[[#This Row],[Bench_Return]])</f>
        <v>1639.0858986482126</v>
      </c>
      <c r="K74" s="6">
        <f>(General[[#This Row],[Fund_Price]]-D62)/D62</f>
        <v>9.7334980352281789E-2</v>
      </c>
      <c r="L74" s="6">
        <f>(General[[#This Row],[Benchmark_Price]]-E62)/E62</f>
        <v>7.6508743155959333E-2</v>
      </c>
      <c r="M74">
        <f>MAX(M73,General[[#This Row],[Fund_Price]])</f>
        <v>323.39404296875</v>
      </c>
      <c r="N74" s="9">
        <f>(General[[#This Row],[Fund_Price]]-General[[#This Row],[Highest Val]])/General[[#This Row],[Highest Val]]</f>
        <v>-6.1443755275089974E-2</v>
      </c>
    </row>
    <row r="75" spans="3:14" x14ac:dyDescent="0.3">
      <c r="C75" s="3">
        <v>44136</v>
      </c>
      <c r="D75">
        <v>336.53982543945313</v>
      </c>
      <c r="E75">
        <v>3621.6298828125</v>
      </c>
      <c r="F75" s="6">
        <f>IFERROR((General[[#This Row],[Fund_Price]]-D74)/D74,0)</f>
        <v>0.1087768395647718</v>
      </c>
      <c r="G75" s="6">
        <f>IFERROR((General[[#This Row],[Benchmark_Price]]-E74)/E74,0)</f>
        <v>0.10754563544385906</v>
      </c>
      <c r="H75" s="6">
        <f>General[[#This Row],[Fund_Return]]-General[[#This Row],[Bench_Return]]</f>
        <v>1.2312041209127378E-3</v>
      </c>
      <c r="I75">
        <f>I74*(1+General[[#This Row],[Fund_Return]])</f>
        <v>2031.9527959548693</v>
      </c>
      <c r="J75">
        <f>J74*(1+General[[#This Row],[Bench_Return]])</f>
        <v>1815.3624331654034</v>
      </c>
      <c r="K75" s="6">
        <f>(General[[#This Row],[Fund_Price]]-D63)/D63</f>
        <v>0.17419542855694775</v>
      </c>
      <c r="L75" s="6">
        <f>(General[[#This Row],[Benchmark_Price]]-E63)/E63</f>
        <v>0.15302545872069498</v>
      </c>
      <c r="M75">
        <f>MAX(M74,General[[#This Row],[Fund_Price]])</f>
        <v>336.53982543945313</v>
      </c>
      <c r="N75" s="9">
        <f>(General[[#This Row],[Fund_Price]]-General[[#This Row],[Highest Val]])/General[[#This Row],[Highest Val]]</f>
        <v>0</v>
      </c>
    </row>
    <row r="76" spans="3:14" x14ac:dyDescent="0.3">
      <c r="C76" s="3">
        <v>44166</v>
      </c>
      <c r="D76">
        <v>347.52670288085938</v>
      </c>
      <c r="E76">
        <v>3756.070068359375</v>
      </c>
      <c r="F76" s="6">
        <f>IFERROR((General[[#This Row],[Fund_Price]]-D75)/D75,0)</f>
        <v>3.264658923222416E-2</v>
      </c>
      <c r="G76" s="6">
        <f>IFERROR((General[[#This Row],[Benchmark_Price]]-E75)/E75,0)</f>
        <v>3.7121459093570022E-2</v>
      </c>
      <c r="H76" s="6">
        <f>General[[#This Row],[Fund_Return]]-General[[#This Row],[Bench_Return]]</f>
        <v>-4.4748698613458621E-3</v>
      </c>
      <c r="I76">
        <f>I75*(1+General[[#This Row],[Fund_Return]])</f>
        <v>2098.2891242236769</v>
      </c>
      <c r="J76">
        <f>J75*(1+General[[#This Row],[Bench_Return]])</f>
        <v>1882.7513354681566</v>
      </c>
      <c r="K76" s="6">
        <f>(General[[#This Row],[Fund_Price]]-D64)/D64</f>
        <v>0.18408633992680926</v>
      </c>
      <c r="L76" s="6">
        <f>(General[[#This Row],[Benchmark_Price]]-E64)/E64</f>
        <v>0.16258923055706165</v>
      </c>
      <c r="M76">
        <f>MAX(M75,General[[#This Row],[Fund_Price]])</f>
        <v>347.52670288085938</v>
      </c>
      <c r="N76" s="9">
        <f>(General[[#This Row],[Fund_Price]]-General[[#This Row],[Highest Val]])/General[[#This Row],[Highest Val]]</f>
        <v>0</v>
      </c>
    </row>
    <row r="77" spans="3:14" x14ac:dyDescent="0.3">
      <c r="C77" s="3">
        <v>44197</v>
      </c>
      <c r="D77">
        <v>345.45159912109381</v>
      </c>
      <c r="E77">
        <v>3714.239990234375</v>
      </c>
      <c r="F77" s="6">
        <f>IFERROR((General[[#This Row],[Fund_Price]]-D76)/D76,0)</f>
        <v>-5.9710627775183198E-3</v>
      </c>
      <c r="G77" s="6">
        <f>IFERROR((General[[#This Row],[Benchmark_Price]]-E76)/E76,0)</f>
        <v>-1.1136660755445142E-2</v>
      </c>
      <c r="H77" s="6">
        <f>General[[#This Row],[Fund_Return]]-General[[#This Row],[Bench_Return]]</f>
        <v>5.1655979779268221E-3</v>
      </c>
      <c r="I77">
        <f>I76*(1+General[[#This Row],[Fund_Return]])</f>
        <v>2085.7601081375533</v>
      </c>
      <c r="J77">
        <f>J76*(1+General[[#This Row],[Bench_Return]])</f>
        <v>1861.7837725581865</v>
      </c>
      <c r="K77" s="6">
        <f>(General[[#This Row],[Fund_Price]]-D65)/D65</f>
        <v>0.1717307495634901</v>
      </c>
      <c r="L77" s="6">
        <f>(General[[#This Row],[Benchmark_Price]]-E65)/E65</f>
        <v>0.15151664467863027</v>
      </c>
      <c r="M77">
        <f>MAX(M76,General[[#This Row],[Fund_Price]])</f>
        <v>347.52670288085938</v>
      </c>
      <c r="N77" s="9">
        <f>(General[[#This Row],[Fund_Price]]-General[[#This Row],[Highest Val]])/General[[#This Row],[Highest Val]]</f>
        <v>-5.9710627775183198E-3</v>
      </c>
    </row>
    <row r="78" spans="3:14" x14ac:dyDescent="0.3">
      <c r="C78" s="3">
        <v>44228</v>
      </c>
      <c r="D78">
        <v>355.05709838867188</v>
      </c>
      <c r="E78">
        <v>3811.14990234375</v>
      </c>
      <c r="F78" s="6">
        <f>IFERROR((General[[#This Row],[Fund_Price]]-D77)/D77,0)</f>
        <v>2.7805629766996617E-2</v>
      </c>
      <c r="G78" s="6">
        <f>IFERROR((General[[#This Row],[Benchmark_Price]]-E77)/E77,0)</f>
        <v>2.6091451377448505E-2</v>
      </c>
      <c r="H78" s="6">
        <f>General[[#This Row],[Fund_Return]]-General[[#This Row],[Bench_Return]]</f>
        <v>1.7141783895481127E-3</v>
      </c>
      <c r="I78">
        <f>I77*(1+General[[#This Row],[Fund_Return]])</f>
        <v>2143.755981487197</v>
      </c>
      <c r="J78">
        <f>J77*(1+General[[#This Row],[Bench_Return]])</f>
        <v>1910.3604133352108</v>
      </c>
      <c r="K78" s="6">
        <f>(General[[#This Row],[Fund_Price]]-D66)/D66</f>
        <v>0.30784827378130031</v>
      </c>
      <c r="L78" s="6">
        <f>(General[[#This Row],[Benchmark_Price]]-E66)/E66</f>
        <v>0.29006977819484098</v>
      </c>
      <c r="M78">
        <f>MAX(M77,General[[#This Row],[Fund_Price]])</f>
        <v>355.05709838867188</v>
      </c>
      <c r="N78" s="9">
        <f>(General[[#This Row],[Fund_Price]]-General[[#This Row],[Highest Val]])/General[[#This Row],[Highest Val]]</f>
        <v>0</v>
      </c>
    </row>
    <row r="79" spans="3:14" x14ac:dyDescent="0.3">
      <c r="C79" s="3">
        <v>44256</v>
      </c>
      <c r="D79">
        <v>369.9647216796875</v>
      </c>
      <c r="E79">
        <v>3972.889892578125</v>
      </c>
      <c r="F79" s="6">
        <f>IFERROR((General[[#This Row],[Fund_Price]]-D78)/D78,0)</f>
        <v>4.1986551905791314E-2</v>
      </c>
      <c r="G79" s="6">
        <f>IFERROR((General[[#This Row],[Benchmark_Price]]-E78)/E78,0)</f>
        <v>4.2438632533165238E-2</v>
      </c>
      <c r="H79" s="6">
        <f>General[[#This Row],[Fund_Return]]-General[[#This Row],[Bench_Return]]</f>
        <v>-4.5208062737392418E-4</v>
      </c>
      <c r="I79">
        <f>I78*(1+General[[#This Row],[Fund_Return]])</f>
        <v>2233.7649032772601</v>
      </c>
      <c r="J79">
        <f>J78*(1+General[[#This Row],[Bench_Return]])</f>
        <v>1991.4334969226493</v>
      </c>
      <c r="K79" s="6">
        <f>(General[[#This Row],[Fund_Price]]-D67)/D67</f>
        <v>0.5663681248132566</v>
      </c>
      <c r="L79" s="6">
        <f>(General[[#This Row],[Benchmark_Price]]-E67)/E67</f>
        <v>0.53714506265113027</v>
      </c>
      <c r="M79">
        <f>MAX(M78,General[[#This Row],[Fund_Price]])</f>
        <v>369.9647216796875</v>
      </c>
      <c r="N79" s="9">
        <f>(General[[#This Row],[Fund_Price]]-General[[#This Row],[Highest Val]])/General[[#This Row],[Highest Val]]</f>
        <v>0</v>
      </c>
    </row>
    <row r="80" spans="3:14" x14ac:dyDescent="0.3">
      <c r="C80" s="3">
        <v>44287</v>
      </c>
      <c r="D80">
        <v>390.81546020507813</v>
      </c>
      <c r="E80">
        <v>4181.169921875</v>
      </c>
      <c r="F80" s="6">
        <f>IFERROR((General[[#This Row],[Fund_Price]]-D79)/D79,0)</f>
        <v>5.6358720990276008E-2</v>
      </c>
      <c r="G80" s="6">
        <f>IFERROR((General[[#This Row],[Benchmark_Price]]-E79)/E79,0)</f>
        <v>5.242532134755841E-2</v>
      </c>
      <c r="H80" s="6">
        <f>General[[#This Row],[Fund_Return]]-General[[#This Row],[Bench_Return]]</f>
        <v>3.9333996427175985E-3</v>
      </c>
      <c r="I80">
        <f>I79*(1+General[[#This Row],[Fund_Return]])</f>
        <v>2359.6570362189341</v>
      </c>
      <c r="J80">
        <f>J79*(1+General[[#This Row],[Bench_Return]])</f>
        <v>2095.8350379411113</v>
      </c>
      <c r="K80" s="6">
        <f>(General[[#This Row],[Fund_Price]]-D68)/D68</f>
        <v>0.45962574058427469</v>
      </c>
      <c r="L80" s="6">
        <f>(General[[#This Row],[Benchmark_Price]]-E68)/E68</f>
        <v>0.43562936105373379</v>
      </c>
      <c r="M80">
        <f>MAX(M79,General[[#This Row],[Fund_Price]])</f>
        <v>390.81546020507813</v>
      </c>
      <c r="N80" s="9">
        <f>(General[[#This Row],[Fund_Price]]-General[[#This Row],[Highest Val]])/General[[#This Row],[Highest Val]]</f>
        <v>0</v>
      </c>
    </row>
    <row r="81" spans="3:14" x14ac:dyDescent="0.3">
      <c r="C81" s="3">
        <v>44317</v>
      </c>
      <c r="D81">
        <v>393.38156127929688</v>
      </c>
      <c r="E81">
        <v>4204.10986328125</v>
      </c>
      <c r="F81" s="6">
        <f>IFERROR((General[[#This Row],[Fund_Price]]-D80)/D80,0)</f>
        <v>6.5660173035943957E-3</v>
      </c>
      <c r="G81" s="6">
        <f>IFERROR((General[[#This Row],[Benchmark_Price]]-E80)/E80,0)</f>
        <v>5.4864886706070138E-3</v>
      </c>
      <c r="H81" s="6">
        <f>General[[#This Row],[Fund_Return]]-General[[#This Row],[Bench_Return]]</f>
        <v>1.0795286329873819E-3</v>
      </c>
      <c r="I81">
        <f>I80*(1+General[[#This Row],[Fund_Return]])</f>
        <v>2375.1505851492957</v>
      </c>
      <c r="J81">
        <f>J80*(1+General[[#This Row],[Bench_Return]])</f>
        <v>2107.3338131322362</v>
      </c>
      <c r="K81" s="6">
        <f>(General[[#This Row],[Fund_Price]]-D69)/D69</f>
        <v>0.40239196960030776</v>
      </c>
      <c r="L81" s="6">
        <f>(General[[#This Row],[Benchmark_Price]]-E69)/E69</f>
        <v>0.38097295688181093</v>
      </c>
      <c r="M81">
        <f>MAX(M80,General[[#This Row],[Fund_Price]])</f>
        <v>393.38156127929688</v>
      </c>
      <c r="N81" s="9">
        <f>(General[[#This Row],[Fund_Price]]-General[[#This Row],[Highest Val]])/General[[#This Row],[Highest Val]]</f>
        <v>0</v>
      </c>
    </row>
    <row r="82" spans="3:14" x14ac:dyDescent="0.3">
      <c r="C82" s="3">
        <v>44348</v>
      </c>
      <c r="D82">
        <v>400.892578125</v>
      </c>
      <c r="E82">
        <v>4297.5</v>
      </c>
      <c r="F82" s="6">
        <f>IFERROR((General[[#This Row],[Fund_Price]]-D81)/D81,0)</f>
        <v>1.9093464424913349E-2</v>
      </c>
      <c r="G82" s="6">
        <f>IFERROR((General[[#This Row],[Benchmark_Price]]-E81)/E81,0)</f>
        <v>2.2214009565834771E-2</v>
      </c>
      <c r="H82" s="6">
        <f>General[[#This Row],[Fund_Return]]-General[[#This Row],[Bench_Return]]</f>
        <v>-3.1205451409214227E-3</v>
      </c>
      <c r="I82">
        <f>I81*(1+General[[#This Row],[Fund_Return]])</f>
        <v>2420.5004383506562</v>
      </c>
      <c r="J82">
        <f>J81*(1+General[[#This Row],[Bench_Return]])</f>
        <v>2154.1461466155629</v>
      </c>
      <c r="K82" s="6">
        <f>(General[[#This Row],[Fund_Price]]-D70)/D70</f>
        <v>0.41044460022463697</v>
      </c>
      <c r="L82" s="6">
        <f>(General[[#This Row],[Benchmark_Price]]-E70)/E70</f>
        <v>0.3861606320225206</v>
      </c>
      <c r="M82">
        <f>MAX(M81,General[[#This Row],[Fund_Price]])</f>
        <v>400.892578125</v>
      </c>
      <c r="N82" s="9">
        <f>(General[[#This Row],[Fund_Price]]-General[[#This Row],[Highest Val]])/General[[#This Row],[Highest Val]]</f>
        <v>0</v>
      </c>
    </row>
    <row r="83" spans="3:14" x14ac:dyDescent="0.3">
      <c r="C83" s="3">
        <v>44378</v>
      </c>
      <c r="D83">
        <v>412.02301025390619</v>
      </c>
      <c r="E83">
        <v>4395.259765625</v>
      </c>
      <c r="F83" s="6">
        <f>IFERROR((General[[#This Row],[Fund_Price]]-D82)/D82,0)</f>
        <v>2.7764126193016419E-2</v>
      </c>
      <c r="G83" s="6">
        <f>IFERROR((General[[#This Row],[Benchmark_Price]]-E82)/E82,0)</f>
        <v>2.2748054828388597E-2</v>
      </c>
      <c r="H83" s="6">
        <f>General[[#This Row],[Fund_Return]]-General[[#This Row],[Bench_Return]]</f>
        <v>5.0160713646278214E-3</v>
      </c>
      <c r="I83">
        <f>I82*(1+General[[#This Row],[Fund_Return]])</f>
        <v>2487.7035179712752</v>
      </c>
      <c r="J83">
        <f>J82*(1+General[[#This Row],[Bench_Return]])</f>
        <v>2203.1487812671353</v>
      </c>
      <c r="K83" s="6">
        <f>(General[[#This Row],[Fund_Price]]-D71)/D71</f>
        <v>0.36298397764415391</v>
      </c>
      <c r="L83" s="6">
        <f>(General[[#This Row],[Benchmark_Price]]-E71)/E71</f>
        <v>0.34365587571392275</v>
      </c>
      <c r="M83">
        <f>MAX(M82,General[[#This Row],[Fund_Price]])</f>
        <v>412.02301025390619</v>
      </c>
      <c r="N83" s="9">
        <f>(General[[#This Row],[Fund_Price]]-General[[#This Row],[Highest Val]])/General[[#This Row],[Highest Val]]</f>
        <v>0</v>
      </c>
    </row>
    <row r="84" spans="3:14" x14ac:dyDescent="0.3">
      <c r="C84" s="3">
        <v>44409</v>
      </c>
      <c r="D84">
        <v>424.28472900390619</v>
      </c>
      <c r="E84">
        <v>4522.68017578125</v>
      </c>
      <c r="F84" s="6">
        <f>IFERROR((General[[#This Row],[Fund_Price]]-D83)/D83,0)</f>
        <v>2.9759791188467374E-2</v>
      </c>
      <c r="G84" s="6">
        <f>IFERROR((General[[#This Row],[Benchmark_Price]]-E83)/E83,0)</f>
        <v>2.8990416255438543E-2</v>
      </c>
      <c r="H84" s="6">
        <f>General[[#This Row],[Fund_Return]]-General[[#This Row],[Bench_Return]]</f>
        <v>7.6937493302883103E-4</v>
      </c>
      <c r="I84">
        <f>I83*(1+General[[#This Row],[Fund_Return]])</f>
        <v>2561.737055204916</v>
      </c>
      <c r="J84">
        <f>J83*(1+General[[#This Row],[Bench_Return]])</f>
        <v>2267.0189815087319</v>
      </c>
      <c r="K84" s="6">
        <f>(General[[#This Row],[Fund_Price]]-D72)/D72</f>
        <v>0.31197447271749962</v>
      </c>
      <c r="L84" s="6">
        <f>(General[[#This Row],[Benchmark_Price]]-E72)/E72</f>
        <v>0.29207987294652327</v>
      </c>
      <c r="M84">
        <f>MAX(M83,General[[#This Row],[Fund_Price]])</f>
        <v>424.28472900390619</v>
      </c>
      <c r="N84" s="9">
        <f>(General[[#This Row],[Fund_Price]]-General[[#This Row],[Highest Val]])/General[[#This Row],[Highest Val]]</f>
        <v>0</v>
      </c>
    </row>
    <row r="85" spans="3:14" x14ac:dyDescent="0.3">
      <c r="C85" s="3">
        <v>44440</v>
      </c>
      <c r="D85">
        <v>403.2188720703125</v>
      </c>
      <c r="E85">
        <v>4307.5400390625</v>
      </c>
      <c r="F85" s="6">
        <f>IFERROR((General[[#This Row],[Fund_Price]]-D84)/D84,0)</f>
        <v>-4.9650283155488611E-2</v>
      </c>
      <c r="G85" s="6">
        <f>IFERROR((General[[#This Row],[Benchmark_Price]]-E84)/E84,0)</f>
        <v>-4.7569168801901096E-2</v>
      </c>
      <c r="H85" s="6">
        <f>General[[#This Row],[Fund_Return]]-General[[#This Row],[Bench_Return]]</f>
        <v>-2.0811143535875154E-3</v>
      </c>
      <c r="I85">
        <f>I84*(1+General[[#This Row],[Fund_Return]])</f>
        <v>2434.5460850440845</v>
      </c>
      <c r="J85">
        <f>J84*(1+General[[#This Row],[Bench_Return]])</f>
        <v>2159.178772900229</v>
      </c>
      <c r="K85" s="6">
        <f>(General[[#This Row],[Fund_Price]]-D73)/D73</f>
        <v>0.30052193420987072</v>
      </c>
      <c r="L85" s="6">
        <f>(General[[#This Row],[Benchmark_Price]]-E73)/E73</f>
        <v>0.28086233692016055</v>
      </c>
      <c r="M85">
        <f>MAX(M84,General[[#This Row],[Fund_Price]])</f>
        <v>424.28472900390619</v>
      </c>
      <c r="N85" s="9">
        <f>(General[[#This Row],[Fund_Price]]-General[[#This Row],[Highest Val]])/General[[#This Row],[Highest Val]]</f>
        <v>-4.9650283155488611E-2</v>
      </c>
    </row>
    <row r="86" spans="3:14" x14ac:dyDescent="0.3">
      <c r="C86" s="3">
        <v>44470</v>
      </c>
      <c r="D86">
        <v>432.89266967773438</v>
      </c>
      <c r="E86">
        <v>4605.3798828125</v>
      </c>
      <c r="F86" s="6">
        <f>IFERROR((General[[#This Row],[Fund_Price]]-D85)/D85,0)</f>
        <v>7.3592283652456167E-2</v>
      </c>
      <c r="G86" s="6">
        <f>IFERROR((General[[#This Row],[Benchmark_Price]]-E85)/E85,0)</f>
        <v>6.914383640060659E-2</v>
      </c>
      <c r="H86" s="6">
        <f>General[[#This Row],[Fund_Return]]-General[[#This Row],[Bench_Return]]</f>
        <v>4.4484472518495771E-3</v>
      </c>
      <c r="I86">
        <f>I85*(1+General[[#This Row],[Fund_Return]])</f>
        <v>2613.7098910996251</v>
      </c>
      <c r="J86">
        <f>J85*(1+General[[#This Row],[Bench_Return]])</f>
        <v>2308.4726767333045</v>
      </c>
      <c r="K86" s="6">
        <f>(General[[#This Row],[Fund_Price]]-D74)/D74</f>
        <v>0.42622456504004003</v>
      </c>
      <c r="L86" s="6">
        <f>(General[[#This Row],[Benchmark_Price]]-E74)/E74</f>
        <v>0.40839029768796742</v>
      </c>
      <c r="M86">
        <f>MAX(M85,General[[#This Row],[Fund_Price]])</f>
        <v>432.89266967773438</v>
      </c>
      <c r="N86" s="9">
        <f>(General[[#This Row],[Fund_Price]]-General[[#This Row],[Highest Val]])/General[[#This Row],[Highest Val]]</f>
        <v>0</v>
      </c>
    </row>
    <row r="87" spans="3:14" x14ac:dyDescent="0.3">
      <c r="C87" s="3">
        <v>44501</v>
      </c>
      <c r="D87">
        <v>429.41439819335938</v>
      </c>
      <c r="E87">
        <v>4567</v>
      </c>
      <c r="F87" s="6">
        <f>IFERROR((General[[#This Row],[Fund_Price]]-D86)/D86,0)</f>
        <v>-8.034951220043501E-3</v>
      </c>
      <c r="G87" s="6">
        <f>IFERROR((General[[#This Row],[Benchmark_Price]]-E86)/E86,0)</f>
        <v>-8.3337061847461435E-3</v>
      </c>
      <c r="H87" s="6">
        <f>General[[#This Row],[Fund_Return]]-General[[#This Row],[Bench_Return]]</f>
        <v>2.9875496470264246E-4</v>
      </c>
      <c r="I87">
        <f>I86*(1+General[[#This Row],[Fund_Return]])</f>
        <v>2592.7088596212943</v>
      </c>
      <c r="J87">
        <f>J86*(1+General[[#This Row],[Bench_Return]])</f>
        <v>2289.2345437098948</v>
      </c>
      <c r="K87" s="6">
        <f>(General[[#This Row],[Fund_Price]]-D75)/D75</f>
        <v>0.27596904061096122</v>
      </c>
      <c r="L87" s="6">
        <f>(General[[#This Row],[Benchmark_Price]]-E75)/E75</f>
        <v>0.26103443691859002</v>
      </c>
      <c r="M87">
        <f>MAX(M86,General[[#This Row],[Fund_Price]])</f>
        <v>432.89266967773438</v>
      </c>
      <c r="N87" s="9">
        <f>(General[[#This Row],[Fund_Price]]-General[[#This Row],[Highest Val]])/General[[#This Row],[Highest Val]]</f>
        <v>-8.034951220043501E-3</v>
      </c>
    </row>
    <row r="88" spans="3:14" x14ac:dyDescent="0.3">
      <c r="C88" s="3">
        <v>44531</v>
      </c>
      <c r="D88">
        <v>447.70101928710938</v>
      </c>
      <c r="E88">
        <v>4766.18017578125</v>
      </c>
      <c r="F88" s="6">
        <f>IFERROR((General[[#This Row],[Fund_Price]]-D87)/D87,0)</f>
        <v>4.2585020834619958E-2</v>
      </c>
      <c r="G88" s="6">
        <f>IFERROR((General[[#This Row],[Benchmark_Price]]-E87)/E87,0)</f>
        <v>4.3612913462064813E-2</v>
      </c>
      <c r="H88" s="6">
        <f>General[[#This Row],[Fund_Return]]-General[[#This Row],[Bench_Return]]</f>
        <v>-1.0278926274448555E-3</v>
      </c>
      <c r="I88">
        <f>I87*(1+General[[#This Row],[Fund_Return]])</f>
        <v>2703.1194204263707</v>
      </c>
      <c r="J88">
        <f>J87*(1+General[[#This Row],[Bench_Return]])</f>
        <v>2389.074731759084</v>
      </c>
      <c r="K88" s="6">
        <f>(General[[#This Row],[Fund_Price]]-D76)/D76</f>
        <v>0.28824926423162422</v>
      </c>
      <c r="L88" s="6">
        <f>(General[[#This Row],[Benchmark_Price]]-E76)/E76</f>
        <v>0.26892738661371246</v>
      </c>
      <c r="M88">
        <f>MAX(M87,General[[#This Row],[Fund_Price]])</f>
        <v>447.70101928710938</v>
      </c>
      <c r="N88" s="9">
        <f>(General[[#This Row],[Fund_Price]]-General[[#This Row],[Highest Val]])/General[[#This Row],[Highest Val]]</f>
        <v>0</v>
      </c>
    </row>
    <row r="89" spans="3:14" x14ac:dyDescent="0.3">
      <c r="C89" s="3">
        <v>44562</v>
      </c>
      <c r="D89">
        <v>425.57864379882813</v>
      </c>
      <c r="E89">
        <v>4515.5498046875</v>
      </c>
      <c r="F89" s="6">
        <f>IFERROR((General[[#This Row],[Fund_Price]]-D88)/D88,0)</f>
        <v>-4.9413279253881337E-2</v>
      </c>
      <c r="G89" s="6">
        <f>IFERROR((General[[#This Row],[Benchmark_Price]]-E88)/E88,0)</f>
        <v>-5.258516502739384E-2</v>
      </c>
      <c r="H89" s="6">
        <f>General[[#This Row],[Fund_Return]]-General[[#This Row],[Bench_Return]]</f>
        <v>3.1718857735125033E-3</v>
      </c>
      <c r="I89">
        <f>I88*(1+General[[#This Row],[Fund_Return]])</f>
        <v>2569.5494256482525</v>
      </c>
      <c r="J89">
        <f>J88*(1+General[[#This Row],[Bench_Return]])</f>
        <v>2263.4448427267557</v>
      </c>
      <c r="K89" s="6">
        <f>(General[[#This Row],[Fund_Price]]-D77)/D77</f>
        <v>0.23194868653552467</v>
      </c>
      <c r="L89" s="6">
        <f>(General[[#This Row],[Benchmark_Price]]-E77)/E77</f>
        <v>0.21573991356507929</v>
      </c>
      <c r="M89">
        <f>MAX(M88,General[[#This Row],[Fund_Price]])</f>
        <v>447.70101928710938</v>
      </c>
      <c r="N89" s="9">
        <f>(General[[#This Row],[Fund_Price]]-General[[#This Row],[Highest Val]])/General[[#This Row],[Highest Val]]</f>
        <v>-4.9413279253881337E-2</v>
      </c>
    </row>
    <row r="90" spans="3:14" x14ac:dyDescent="0.3">
      <c r="C90" s="3">
        <v>44593</v>
      </c>
      <c r="D90">
        <v>413.01681518554688</v>
      </c>
      <c r="E90">
        <v>4373.93994140625</v>
      </c>
      <c r="F90" s="6">
        <f>IFERROR((General[[#This Row],[Fund_Price]]-D89)/D89,0)</f>
        <v>-2.9517055886900311E-2</v>
      </c>
      <c r="G90" s="6">
        <f>IFERROR((General[[#This Row],[Benchmark_Price]]-E89)/E89,0)</f>
        <v>-3.1360491945908266E-2</v>
      </c>
      <c r="H90" s="6">
        <f>General[[#This Row],[Fund_Return]]-General[[#This Row],[Bench_Return]]</f>
        <v>1.8434360590079552E-3</v>
      </c>
      <c r="I90">
        <f>I89*(1+General[[#This Row],[Fund_Return]])</f>
        <v>2493.7038916472402</v>
      </c>
      <c r="J90">
        <f>J89*(1+General[[#This Row],[Bench_Return]])</f>
        <v>2192.4620989664159</v>
      </c>
      <c r="K90" s="6">
        <f>(General[[#This Row],[Fund_Price]]-D78)/D78</f>
        <v>0.16324055218135081</v>
      </c>
      <c r="L90" s="6">
        <f>(General[[#This Row],[Benchmark_Price]]-E78)/E78</f>
        <v>0.14766935268444834</v>
      </c>
      <c r="M90">
        <f>MAX(M89,General[[#This Row],[Fund_Price]])</f>
        <v>447.70101928710938</v>
      </c>
      <c r="N90" s="9">
        <f>(General[[#This Row],[Fund_Price]]-General[[#This Row],[Highest Val]])/General[[#This Row],[Highest Val]]</f>
        <v>-7.7471800615489819E-2</v>
      </c>
    </row>
    <row r="91" spans="3:14" x14ac:dyDescent="0.3">
      <c r="C91" s="3">
        <v>44621</v>
      </c>
      <c r="D91">
        <v>427.21505737304688</v>
      </c>
      <c r="E91">
        <v>4530.41015625</v>
      </c>
      <c r="F91" s="6">
        <f>IFERROR((General[[#This Row],[Fund_Price]]-D90)/D90,0)</f>
        <v>3.4376910734545935E-2</v>
      </c>
      <c r="G91" s="6">
        <f>IFERROR((General[[#This Row],[Benchmark_Price]]-E90)/E90,0)</f>
        <v>3.5773288371546273E-2</v>
      </c>
      <c r="H91" s="6">
        <f>General[[#This Row],[Fund_Return]]-General[[#This Row],[Bench_Return]]</f>
        <v>-1.3963776370003386E-3</v>
      </c>
      <c r="I91">
        <f>I90*(1+General[[#This Row],[Fund_Return]])</f>
        <v>2579.4297277287874</v>
      </c>
      <c r="J91">
        <f>J90*(1+General[[#This Row],[Bench_Return]])</f>
        <v>2270.8936778764269</v>
      </c>
      <c r="K91" s="6">
        <f>(General[[#This Row],[Fund_Price]]-D79)/D79</f>
        <v>0.15474539148877622</v>
      </c>
      <c r="L91" s="6">
        <f>(General[[#This Row],[Benchmark_Price]]-E79)/E79</f>
        <v>0.14033116415166585</v>
      </c>
      <c r="M91">
        <f>MAX(M90,General[[#This Row],[Fund_Price]])</f>
        <v>447.70101928710938</v>
      </c>
      <c r="N91" s="9">
        <f>(General[[#This Row],[Fund_Price]]-General[[#This Row],[Highest Val]])/General[[#This Row],[Highest Val]]</f>
        <v>-4.5758131055147123E-2</v>
      </c>
    </row>
    <row r="92" spans="3:14" x14ac:dyDescent="0.3">
      <c r="C92" s="3">
        <v>44652</v>
      </c>
      <c r="D92">
        <v>390.92950439453119</v>
      </c>
      <c r="E92">
        <v>4131.93017578125</v>
      </c>
      <c r="F92" s="6">
        <f>IFERROR((General[[#This Row],[Fund_Price]]-D91)/D91,0)</f>
        <v>-8.4935098499655429E-2</v>
      </c>
      <c r="G92" s="6">
        <f>IFERROR((General[[#This Row],[Benchmark_Price]]-E91)/E91,0)</f>
        <v>-8.7956711804343043E-2</v>
      </c>
      <c r="H92" s="6">
        <f>General[[#This Row],[Fund_Return]]-General[[#This Row],[Bench_Return]]</f>
        <v>3.0216133046876148E-3</v>
      </c>
      <c r="I92">
        <f>I91*(1+General[[#This Row],[Fund_Return]])</f>
        <v>2360.3456097312037</v>
      </c>
      <c r="J92">
        <f>J91*(1+General[[#This Row],[Bench_Return]])</f>
        <v>2071.1533371131454</v>
      </c>
      <c r="K92" s="6">
        <f>(General[[#This Row],[Fund_Price]]-D80)/D80</f>
        <v>2.9181084441547969E-4</v>
      </c>
      <c r="L92" s="6">
        <f>(General[[#This Row],[Benchmark_Price]]-E80)/E80</f>
        <v>-1.1776547476852835E-2</v>
      </c>
      <c r="M92">
        <f>MAX(M91,General[[#This Row],[Fund_Price]])</f>
        <v>447.70101928710938</v>
      </c>
      <c r="N92" s="9">
        <f>(General[[#This Row],[Fund_Price]]-General[[#This Row],[Highest Val]])/General[[#This Row],[Highest Val]]</f>
        <v>-0.12680675818647349</v>
      </c>
    </row>
    <row r="93" spans="3:14" x14ac:dyDescent="0.3">
      <c r="C93" s="3">
        <v>44682</v>
      </c>
      <c r="D93">
        <v>391.81198120117188</v>
      </c>
      <c r="E93">
        <v>4132.14990234375</v>
      </c>
      <c r="F93" s="6">
        <f>IFERROR((General[[#This Row],[Fund_Price]]-D92)/D92,0)</f>
        <v>2.2573809260251552E-3</v>
      </c>
      <c r="G93" s="6">
        <f>IFERROR((General[[#This Row],[Benchmark_Price]]-E92)/E92,0)</f>
        <v>5.3177704644647078E-5</v>
      </c>
      <c r="H93" s="6">
        <f>General[[#This Row],[Fund_Return]]-General[[#This Row],[Bench_Return]]</f>
        <v>2.2042032213805082E-3</v>
      </c>
      <c r="I93">
        <f>I92*(1+General[[#This Row],[Fund_Return]])</f>
        <v>2365.6738088894381</v>
      </c>
      <c r="J93">
        <f>J92*(1+General[[#This Row],[Bench_Return]])</f>
        <v>2071.26347629358</v>
      </c>
      <c r="K93" s="6">
        <f>(General[[#This Row],[Fund_Price]]-D81)/D81</f>
        <v>-3.989968602037792E-3</v>
      </c>
      <c r="L93" s="6">
        <f>(General[[#This Row],[Benchmark_Price]]-E81)/E81</f>
        <v>-1.7116574798865088E-2</v>
      </c>
      <c r="M93">
        <f>MAX(M92,General[[#This Row],[Fund_Price]])</f>
        <v>447.70101928710938</v>
      </c>
      <c r="N93" s="9">
        <f>(General[[#This Row],[Fund_Price]]-General[[#This Row],[Highest Val]])/General[[#This Row],[Highest Val]]</f>
        <v>-0.12483562841766956</v>
      </c>
    </row>
    <row r="94" spans="3:14" x14ac:dyDescent="0.3">
      <c r="C94" s="3">
        <v>44713</v>
      </c>
      <c r="D94">
        <v>357.95672607421881</v>
      </c>
      <c r="E94">
        <v>3785.3798828125</v>
      </c>
      <c r="F94" s="6">
        <f>IFERROR((General[[#This Row],[Fund_Price]]-D93)/D93,0)</f>
        <v>-8.6406890935707331E-2</v>
      </c>
      <c r="G94" s="6">
        <f>IFERROR((General[[#This Row],[Benchmark_Price]]-E93)/E93,0)</f>
        <v>-8.3919999933826817E-2</v>
      </c>
      <c r="H94" s="6">
        <f>General[[#This Row],[Fund_Return]]-General[[#This Row],[Bench_Return]]</f>
        <v>-2.4868910018805146E-3</v>
      </c>
      <c r="I94">
        <f>I93*(1+General[[#This Row],[Fund_Return]])</f>
        <v>2161.263290095269</v>
      </c>
      <c r="J94">
        <f>J93*(1+General[[#This Row],[Bench_Return]])</f>
        <v>1897.4430455000847</v>
      </c>
      <c r="K94" s="6">
        <f>(General[[#This Row],[Fund_Price]]-D82)/D82</f>
        <v>-0.10710064090384236</v>
      </c>
      <c r="L94" s="6">
        <f>(General[[#This Row],[Benchmark_Price]]-E82)/E82</f>
        <v>-0.11916698480221059</v>
      </c>
      <c r="M94">
        <f>MAX(M93,General[[#This Row],[Fund_Price]])</f>
        <v>447.70101928710938</v>
      </c>
      <c r="N94" s="9">
        <f>(General[[#This Row],[Fund_Price]]-General[[#This Row],[Highest Val]])/General[[#This Row],[Highest Val]]</f>
        <v>-0.20045586082380082</v>
      </c>
    </row>
    <row r="95" spans="3:14" x14ac:dyDescent="0.3">
      <c r="C95" s="3">
        <v>44743</v>
      </c>
      <c r="D95">
        <v>392.60867309570313</v>
      </c>
      <c r="E95">
        <v>4130.2900390625</v>
      </c>
      <c r="F95" s="6">
        <f>IFERROR((General[[#This Row],[Fund_Price]]-D94)/D94,0)</f>
        <v>9.6804849573631363E-2</v>
      </c>
      <c r="G95" s="6">
        <f>IFERROR((General[[#This Row],[Benchmark_Price]]-E94)/E94,0)</f>
        <v>9.1116391730209953E-2</v>
      </c>
      <c r="H95" s="6">
        <f>General[[#This Row],[Fund_Return]]-General[[#This Row],[Bench_Return]]</f>
        <v>5.68845784342141E-3</v>
      </c>
      <c r="I95">
        <f>I94*(1+General[[#This Row],[Fund_Return]])</f>
        <v>2370.4840577819532</v>
      </c>
      <c r="J95">
        <f>J94*(1+General[[#This Row],[Bench_Return]])</f>
        <v>2070.3312093196332</v>
      </c>
      <c r="K95" s="6">
        <f>(General[[#This Row],[Fund_Price]]-D83)/D83</f>
        <v>-4.7119545935648412E-2</v>
      </c>
      <c r="L95" s="6">
        <f>(General[[#This Row],[Benchmark_Price]]-E83)/E83</f>
        <v>-6.0285339363741031E-2</v>
      </c>
      <c r="M95">
        <f>MAX(M94,General[[#This Row],[Fund_Price]])</f>
        <v>447.70101928710938</v>
      </c>
      <c r="N95" s="9">
        <f>(General[[#This Row],[Fund_Price]]-General[[#This Row],[Highest Val]])/General[[#This Row],[Highest Val]]</f>
        <v>-0.12305611070337029</v>
      </c>
    </row>
    <row r="96" spans="3:14" x14ac:dyDescent="0.3">
      <c r="C96" s="3">
        <v>44774</v>
      </c>
      <c r="D96">
        <v>376.58944702148438</v>
      </c>
      <c r="E96">
        <v>3955</v>
      </c>
      <c r="F96" s="6">
        <f>IFERROR((General[[#This Row],[Fund_Price]]-D95)/D95,0)</f>
        <v>-4.0802017815622399E-2</v>
      </c>
      <c r="G96" s="6">
        <f>IFERROR((General[[#This Row],[Benchmark_Price]]-E95)/E95,0)</f>
        <v>-4.2440128272998381E-2</v>
      </c>
      <c r="H96" s="6">
        <f>General[[#This Row],[Fund_Return]]-General[[#This Row],[Bench_Return]]</f>
        <v>1.6381104573759825E-3</v>
      </c>
      <c r="I96">
        <f>I95*(1+General[[#This Row],[Fund_Return]])</f>
        <v>2273.7635250246849</v>
      </c>
      <c r="J96">
        <f>J95*(1+General[[#This Row],[Bench_Return]])</f>
        <v>1982.4660872285162</v>
      </c>
      <c r="K96" s="6">
        <f>(General[[#This Row],[Fund_Price]]-D84)/D84</f>
        <v>-0.11241338356531495</v>
      </c>
      <c r="L96" s="6">
        <f>(General[[#This Row],[Benchmark_Price]]-E84)/E84</f>
        <v>-0.12551853186991907</v>
      </c>
      <c r="M96">
        <f>MAX(M95,General[[#This Row],[Fund_Price]])</f>
        <v>447.70101928710938</v>
      </c>
      <c r="N96" s="9">
        <f>(General[[#This Row],[Fund_Price]]-General[[#This Row],[Highest Val]])/General[[#This Row],[Highest Val]]</f>
        <v>-0.15883719089775258</v>
      </c>
    </row>
    <row r="97" spans="3:14" x14ac:dyDescent="0.3">
      <c r="C97" s="3">
        <v>44805</v>
      </c>
      <c r="D97">
        <v>340.37713623046881</v>
      </c>
      <c r="E97">
        <v>3585.6201171875</v>
      </c>
      <c r="F97" s="6">
        <f>IFERROR((General[[#This Row],[Fund_Price]]-D96)/D96,0)</f>
        <v>-9.6158591477869163E-2</v>
      </c>
      <c r="G97" s="6">
        <f>IFERROR((General[[#This Row],[Benchmark_Price]]-E96)/E96,0)</f>
        <v>-9.3395672013274339E-2</v>
      </c>
      <c r="H97" s="6">
        <f>General[[#This Row],[Fund_Return]]-General[[#This Row],[Bench_Return]]</f>
        <v>-2.7629194645948235E-3</v>
      </c>
      <c r="I97">
        <f>I96*(1+General[[#This Row],[Fund_Return]])</f>
        <v>2055.1216271045564</v>
      </c>
      <c r="J97">
        <f>J96*(1+General[[#This Row],[Bench_Return]])</f>
        <v>1797.3123347682824</v>
      </c>
      <c r="K97" s="6">
        <f>(General[[#This Row],[Fund_Price]]-D85)/D85</f>
        <v>-0.15585018507984288</v>
      </c>
      <c r="L97" s="6">
        <f>(General[[#This Row],[Benchmark_Price]]-E85)/E85</f>
        <v>-0.16759447743453124</v>
      </c>
      <c r="M97">
        <f>MAX(M96,General[[#This Row],[Fund_Price]])</f>
        <v>447.70101928710938</v>
      </c>
      <c r="N97" s="9">
        <f>(General[[#This Row],[Fund_Price]]-General[[#This Row],[Highest Val]])/General[[#This Row],[Highest Val]]</f>
        <v>-0.23972222182459244</v>
      </c>
    </row>
    <row r="98" spans="3:14" x14ac:dyDescent="0.3">
      <c r="C98" s="3">
        <v>44835</v>
      </c>
      <c r="D98">
        <v>369.55331420898438</v>
      </c>
      <c r="E98">
        <v>3871.97998046875</v>
      </c>
      <c r="F98" s="6">
        <f>IFERROR((General[[#This Row],[Fund_Price]]-D97)/D97,0)</f>
        <v>8.5717208569380601E-2</v>
      </c>
      <c r="G98" s="6">
        <f>IFERROR((General[[#This Row],[Benchmark_Price]]-E97)/E97,0)</f>
        <v>7.9863413837008998E-2</v>
      </c>
      <c r="H98" s="6">
        <f>General[[#This Row],[Fund_Return]]-General[[#This Row],[Bench_Return]]</f>
        <v>5.8537947323716033E-3</v>
      </c>
      <c r="I98">
        <f>I97*(1+General[[#This Row],[Fund_Return]])</f>
        <v>2231.2809162505228</v>
      </c>
      <c r="J98">
        <f>J97*(1+General[[#This Row],[Bench_Return]])</f>
        <v>1940.8518335542424</v>
      </c>
      <c r="K98" s="6">
        <f>(General[[#This Row],[Fund_Price]]-D86)/D86</f>
        <v>-0.14631653503373662</v>
      </c>
      <c r="L98" s="6">
        <f>(General[[#This Row],[Benchmark_Price]]-E86)/E86</f>
        <v>-0.15924851391322437</v>
      </c>
      <c r="M98">
        <f>MAX(M97,General[[#This Row],[Fund_Price]])</f>
        <v>447.70101928710938</v>
      </c>
      <c r="N98" s="9">
        <f>(General[[#This Row],[Fund_Price]]-General[[#This Row],[Highest Val]])/General[[#This Row],[Highest Val]]</f>
        <v>-0.17455333294206574</v>
      </c>
    </row>
    <row r="99" spans="3:14" x14ac:dyDescent="0.3">
      <c r="C99" s="3">
        <v>44866</v>
      </c>
      <c r="D99">
        <v>390.09735107421881</v>
      </c>
      <c r="E99">
        <v>4080.110107421875</v>
      </c>
      <c r="F99" s="6">
        <f>IFERROR((General[[#This Row],[Fund_Price]]-D98)/D98,0)</f>
        <v>5.5591537338010907E-2</v>
      </c>
      <c r="G99" s="6">
        <f>IFERROR((General[[#This Row],[Benchmark_Price]]-E98)/E98,0)</f>
        <v>5.3752893352493093E-2</v>
      </c>
      <c r="H99" s="6">
        <f>General[[#This Row],[Fund_Return]]-General[[#This Row],[Bench_Return]]</f>
        <v>1.8386439855178141E-3</v>
      </c>
      <c r="I99">
        <f>I98*(1+General[[#This Row],[Fund_Return]])</f>
        <v>2355.321252617855</v>
      </c>
      <c r="J99">
        <f>J98*(1+General[[#This Row],[Bench_Return]])</f>
        <v>2045.1782351762743</v>
      </c>
      <c r="K99" s="6">
        <f>(General[[#This Row],[Fund_Price]]-D87)/D87</f>
        <v>-9.1559685200487018E-2</v>
      </c>
      <c r="L99" s="6">
        <f>(General[[#This Row],[Benchmark_Price]]-E87)/E87</f>
        <v>-0.10661044286799322</v>
      </c>
      <c r="M99">
        <f>MAX(M98,General[[#This Row],[Fund_Price]])</f>
        <v>447.70101928710938</v>
      </c>
      <c r="N99" s="9">
        <f>(General[[#This Row],[Fund_Price]]-General[[#This Row],[Highest Val]])/General[[#This Row],[Highest Val]]</f>
        <v>-0.12866548372977793</v>
      </c>
    </row>
    <row r="100" spans="3:14" x14ac:dyDescent="0.3">
      <c r="C100" s="3">
        <v>44896</v>
      </c>
      <c r="D100">
        <v>365.93634033203119</v>
      </c>
      <c r="E100">
        <v>3839.5</v>
      </c>
      <c r="F100" s="6">
        <f>IFERROR((General[[#This Row],[Fund_Price]]-D99)/D99,0)</f>
        <v>-6.1935849283915823E-2</v>
      </c>
      <c r="G100" s="6">
        <f>IFERROR((General[[#This Row],[Benchmark_Price]]-E99)/E99,0)</f>
        <v>-5.8971474074730502E-2</v>
      </c>
      <c r="H100" s="6">
        <f>General[[#This Row],[Fund_Return]]-General[[#This Row],[Bench_Return]]</f>
        <v>-2.9643752091853201E-3</v>
      </c>
      <c r="I100">
        <f>I99*(1+General[[#This Row],[Fund_Return]])</f>
        <v>2209.4424305005118</v>
      </c>
      <c r="J100">
        <f>J99*(1+General[[#This Row],[Bench_Return]])</f>
        <v>1924.5710599023737</v>
      </c>
      <c r="K100" s="6">
        <f>(General[[#This Row],[Fund_Price]]-D88)/D88</f>
        <v>-0.18263232700536411</v>
      </c>
      <c r="L100" s="6">
        <f>(General[[#This Row],[Benchmark_Price]]-E88)/E88</f>
        <v>-0.19442827203429272</v>
      </c>
      <c r="M100">
        <f>MAX(M99,General[[#This Row],[Fund_Price]])</f>
        <v>447.70101928710938</v>
      </c>
      <c r="N100" s="9">
        <f>(General[[#This Row],[Fund_Price]]-General[[#This Row],[Highest Val]])/General[[#This Row],[Highest Val]]</f>
        <v>-0.18263232700536411</v>
      </c>
    </row>
    <row r="101" spans="3:14" x14ac:dyDescent="0.3">
      <c r="C101" s="3">
        <v>44927</v>
      </c>
      <c r="D101">
        <v>390.735107421875</v>
      </c>
      <c r="E101">
        <v>4076.60009765625</v>
      </c>
      <c r="F101" s="6">
        <f>IFERROR((General[[#This Row],[Fund_Price]]-D100)/D100,0)</f>
        <v>6.7767981358021784E-2</v>
      </c>
      <c r="G101" s="6">
        <f>IFERROR((General[[#This Row],[Benchmark_Price]]-E100)/E100,0)</f>
        <v>6.1752857834678994E-2</v>
      </c>
      <c r="H101" s="6">
        <f>General[[#This Row],[Fund_Return]]-General[[#This Row],[Bench_Return]]</f>
        <v>6.0151235233427899E-3</v>
      </c>
      <c r="I101">
        <f>I100*(1+General[[#This Row],[Fund_Return]])</f>
        <v>2359.1718839422929</v>
      </c>
      <c r="J101">
        <f>J100*(1+General[[#This Row],[Bench_Return]])</f>
        <v>2043.4188229572626</v>
      </c>
      <c r="K101" s="6">
        <f>(General[[#This Row],[Fund_Price]]-D89)/D89</f>
        <v>-8.1873319736936179E-2</v>
      </c>
      <c r="L101" s="6">
        <f>(General[[#This Row],[Benchmark_Price]]-E89)/E89</f>
        <v>-9.7208474276063855E-2</v>
      </c>
      <c r="M101">
        <f>MAX(M100,General[[#This Row],[Fund_Price]])</f>
        <v>447.70101928710938</v>
      </c>
      <c r="N101" s="9">
        <f>(General[[#This Row],[Fund_Price]]-General[[#This Row],[Highest Val]])/General[[#This Row],[Highest Val]]</f>
        <v>-0.12724096977921398</v>
      </c>
    </row>
    <row r="102" spans="3:14" x14ac:dyDescent="0.3">
      <c r="C102" s="3">
        <v>44958</v>
      </c>
      <c r="D102">
        <v>380.91110229492188</v>
      </c>
      <c r="E102">
        <v>3970.14990234375</v>
      </c>
      <c r="F102" s="6">
        <f>IFERROR((General[[#This Row],[Fund_Price]]-D101)/D101,0)</f>
        <v>-2.5142366120549771E-2</v>
      </c>
      <c r="G102" s="6">
        <f>IFERROR((General[[#This Row],[Benchmark_Price]]-E101)/E101,0)</f>
        <v>-2.6112493931818616E-2</v>
      </c>
      <c r="H102" s="6">
        <f>General[[#This Row],[Fund_Return]]-General[[#This Row],[Bench_Return]]</f>
        <v>9.7012781126884495E-4</v>
      </c>
      <c r="I102">
        <f>I101*(1+General[[#This Row],[Fund_Return]])</f>
        <v>2299.8567206949087</v>
      </c>
      <c r="J102">
        <f>J101*(1+General[[#This Row],[Bench_Return]])</f>
        <v>1990.0600613426273</v>
      </c>
      <c r="K102" s="6">
        <f>(General[[#This Row],[Fund_Price]]-D90)/D90</f>
        <v>-7.7734638664049505E-2</v>
      </c>
      <c r="L102" s="6">
        <f>(General[[#This Row],[Benchmark_Price]]-E90)/E90</f>
        <v>-9.2317234454910899E-2</v>
      </c>
      <c r="M102">
        <f>MAX(M101,General[[#This Row],[Fund_Price]])</f>
        <v>447.70101928710938</v>
      </c>
      <c r="N102" s="9">
        <f>(General[[#This Row],[Fund_Price]]-General[[#This Row],[Highest Val]])/General[[#This Row],[Highest Val]]</f>
        <v>-0.14918419685204093</v>
      </c>
    </row>
    <row r="103" spans="3:14" x14ac:dyDescent="0.3">
      <c r="C103" s="3">
        <v>44986</v>
      </c>
      <c r="D103">
        <v>393.53240966796881</v>
      </c>
      <c r="E103">
        <v>4109.31005859375</v>
      </c>
      <c r="F103" s="6">
        <f>IFERROR((General[[#This Row],[Fund_Price]]-D102)/D102,0)</f>
        <v>3.3134522194301484E-2</v>
      </c>
      <c r="G103" s="6">
        <f>IFERROR((General[[#This Row],[Benchmark_Price]]-E102)/E102,0)</f>
        <v>3.5051612577108933E-2</v>
      </c>
      <c r="H103" s="6">
        <f>General[[#This Row],[Fund_Return]]-General[[#This Row],[Bench_Return]]</f>
        <v>-1.9170903828074487E-3</v>
      </c>
      <c r="I103">
        <f>I102*(1+General[[#This Row],[Fund_Return]])</f>
        <v>2376.0613742504879</v>
      </c>
      <c r="J103">
        <f>J102*(1+General[[#This Row],[Bench_Return]])</f>
        <v>2059.8148756179867</v>
      </c>
      <c r="K103" s="6">
        <f>(General[[#This Row],[Fund_Price]]-D91)/D91</f>
        <v>-7.8842370192177394E-2</v>
      </c>
      <c r="L103" s="6">
        <f>(General[[#This Row],[Benchmark_Price]]-E91)/E91</f>
        <v>-9.2949663084106113E-2</v>
      </c>
      <c r="M103">
        <f>MAX(M102,General[[#This Row],[Fund_Price]])</f>
        <v>447.70101928710938</v>
      </c>
      <c r="N103" s="9">
        <f>(General[[#This Row],[Fund_Price]]-General[[#This Row],[Highest Val]])/General[[#This Row],[Highest Val]]</f>
        <v>-0.12099282173937244</v>
      </c>
    </row>
    <row r="104" spans="3:14" x14ac:dyDescent="0.3">
      <c r="C104" s="3">
        <v>45017</v>
      </c>
      <c r="D104">
        <v>401.34503173828119</v>
      </c>
      <c r="E104">
        <v>4169.47998046875</v>
      </c>
      <c r="F104" s="6">
        <f>IFERROR((General[[#This Row],[Fund_Price]]-D103)/D103,0)</f>
        <v>1.9852550586377506E-2</v>
      </c>
      <c r="G104" s="6">
        <f>IFERROR((General[[#This Row],[Benchmark_Price]]-E103)/E103,0)</f>
        <v>1.464234166248112E-2</v>
      </c>
      <c r="H104" s="6">
        <f>General[[#This Row],[Fund_Return]]-General[[#This Row],[Bench_Return]]</f>
        <v>5.2102089238963856E-3</v>
      </c>
      <c r="I104">
        <f>I103*(1+General[[#This Row],[Fund_Return]])</f>
        <v>2423.2322528791337</v>
      </c>
      <c r="J104">
        <f>J103*(1+General[[#This Row],[Bench_Return]])</f>
        <v>2089.9753887882462</v>
      </c>
      <c r="K104" s="6">
        <f>(General[[#This Row],[Fund_Price]]-D92)/D92</f>
        <v>2.6642980963745608E-2</v>
      </c>
      <c r="L104" s="6">
        <f>(General[[#This Row],[Benchmark_Price]]-E92)/E92</f>
        <v>9.0877152057392222E-3</v>
      </c>
      <c r="M104">
        <f>MAX(M103,General[[#This Row],[Fund_Price]])</f>
        <v>447.70101928710938</v>
      </c>
      <c r="N104" s="9">
        <f>(General[[#This Row],[Fund_Price]]-General[[#This Row],[Highest Val]])/General[[#This Row],[Highest Val]]</f>
        <v>-0.10354228726716438</v>
      </c>
    </row>
    <row r="105" spans="3:14" x14ac:dyDescent="0.3">
      <c r="C105" s="3">
        <v>45047</v>
      </c>
      <c r="D105">
        <v>403.19772338867188</v>
      </c>
      <c r="E105">
        <v>4179.830078125</v>
      </c>
      <c r="F105" s="6">
        <f>IFERROR((General[[#This Row],[Fund_Price]]-D104)/D104,0)</f>
        <v>4.6162067644550534E-3</v>
      </c>
      <c r="G105" s="6">
        <f>IFERROR((General[[#This Row],[Benchmark_Price]]-E104)/E104,0)</f>
        <v>2.4823473681929993E-3</v>
      </c>
      <c r="H105" s="6">
        <f>General[[#This Row],[Fund_Return]]-General[[#This Row],[Bench_Return]]</f>
        <v>2.1338593962620541E-3</v>
      </c>
      <c r="I105">
        <f>I104*(1+General[[#This Row],[Fund_Return]])</f>
        <v>2434.4183939967202</v>
      </c>
      <c r="J105">
        <f>J104*(1+General[[#This Row],[Bench_Return]])</f>
        <v>2095.1634336941929</v>
      </c>
      <c r="K105" s="6">
        <f>(General[[#This Row],[Fund_Price]]-D93)/D93</f>
        <v>2.9059198630411728E-2</v>
      </c>
      <c r="L105" s="6">
        <f>(General[[#This Row],[Benchmark_Price]]-E93)/E93</f>
        <v>1.1538830126711004E-2</v>
      </c>
      <c r="M105">
        <f>MAX(M104,General[[#This Row],[Fund_Price]])</f>
        <v>447.70101928710938</v>
      </c>
      <c r="N105" s="9">
        <f>(General[[#This Row],[Fund_Price]]-General[[#This Row],[Highest Val]])/General[[#This Row],[Highest Val]]</f>
        <v>-9.9404053109599169E-2</v>
      </c>
    </row>
    <row r="106" spans="3:14" x14ac:dyDescent="0.3">
      <c r="C106" s="3">
        <v>45078</v>
      </c>
      <c r="D106">
        <v>427.7359619140625</v>
      </c>
      <c r="E106">
        <v>4450.3798828125</v>
      </c>
      <c r="F106" s="6">
        <f>IFERROR((General[[#This Row],[Fund_Price]]-D105)/D105,0)</f>
        <v>6.0859070133529536E-2</v>
      </c>
      <c r="G106" s="6">
        <f>IFERROR((General[[#This Row],[Benchmark_Price]]-E105)/E105,0)</f>
        <v>6.4727464904234575E-2</v>
      </c>
      <c r="H106" s="6">
        <f>General[[#This Row],[Fund_Return]]-General[[#This Row],[Bench_Return]]</f>
        <v>-3.8683947707050387E-3</v>
      </c>
      <c r="I106">
        <f>I105*(1+General[[#This Row],[Fund_Return]])</f>
        <v>2582.5748337713208</v>
      </c>
      <c r="J106">
        <f>J105*(1+General[[#This Row],[Bench_Return]])</f>
        <v>2230.7780513172697</v>
      </c>
      <c r="K106" s="6">
        <f>(General[[#This Row],[Fund_Price]]-D94)/D94</f>
        <v>0.19493763004574932</v>
      </c>
      <c r="L106" s="6">
        <f>(General[[#This Row],[Benchmark_Price]]-E94)/E94</f>
        <v>0.17567589530959085</v>
      </c>
      <c r="M106">
        <f>MAX(M105,General[[#This Row],[Fund_Price]])</f>
        <v>447.70101928710938</v>
      </c>
      <c r="N106" s="9">
        <f>(General[[#This Row],[Fund_Price]]-General[[#This Row],[Highest Val]])/General[[#This Row],[Highest Val]]</f>
        <v>-4.4594621215823818E-2</v>
      </c>
    </row>
    <row r="107" spans="3:14" x14ac:dyDescent="0.3">
      <c r="C107" s="3">
        <v>45108</v>
      </c>
      <c r="D107">
        <v>443.3780517578125</v>
      </c>
      <c r="E107">
        <v>4588.9599609375</v>
      </c>
      <c r="F107" s="6">
        <f>IFERROR((General[[#This Row],[Fund_Price]]-D106)/D106,0)</f>
        <v>3.6569499028685108E-2</v>
      </c>
      <c r="G107" s="6">
        <f>IFERROR((General[[#This Row],[Benchmark_Price]]-E106)/E106,0)</f>
        <v>3.1138932355010952E-2</v>
      </c>
      <c r="H107" s="6">
        <f>General[[#This Row],[Fund_Return]]-General[[#This Row],[Bench_Return]]</f>
        <v>5.4305666736741559E-3</v>
      </c>
      <c r="I107">
        <f>I106*(1+General[[#This Row],[Fund_Return]])</f>
        <v>2677.0183016464275</v>
      </c>
      <c r="J107">
        <f>J106*(1+General[[#This Row],[Bench_Return]])</f>
        <v>2300.2420981562809</v>
      </c>
      <c r="K107" s="6">
        <f>(General[[#This Row],[Fund_Price]]-D95)/D95</f>
        <v>0.12931293203941452</v>
      </c>
      <c r="L107" s="6">
        <f>(General[[#This Row],[Benchmark_Price]]-E95)/E95</f>
        <v>0.11105029369296052</v>
      </c>
      <c r="M107">
        <f>MAX(M106,General[[#This Row],[Fund_Price]])</f>
        <v>447.70101928710938</v>
      </c>
      <c r="N107" s="9">
        <f>(General[[#This Row],[Fund_Price]]-General[[#This Row],[Highest Val]])/General[[#This Row],[Highest Val]]</f>
        <v>-9.6559251443753547E-3</v>
      </c>
    </row>
    <row r="108" spans="3:14" x14ac:dyDescent="0.3">
      <c r="C108" s="3">
        <v>45139</v>
      </c>
      <c r="D108">
        <v>436.17221069335938</v>
      </c>
      <c r="E108">
        <v>4507.66015625</v>
      </c>
      <c r="F108" s="6">
        <f>IFERROR((General[[#This Row],[Fund_Price]]-D107)/D107,0)</f>
        <v>-1.6252137506322008E-2</v>
      </c>
      <c r="G108" s="6">
        <f>IFERROR((General[[#This Row],[Benchmark_Price]]-E107)/E107,0)</f>
        <v>-1.7716390070854068E-2</v>
      </c>
      <c r="H108" s="6">
        <f>General[[#This Row],[Fund_Return]]-General[[#This Row],[Bench_Return]]</f>
        <v>1.4642525645320592E-3</v>
      </c>
      <c r="I108">
        <f>I107*(1+General[[#This Row],[Fund_Return]])</f>
        <v>2633.5110321011289</v>
      </c>
      <c r="J108">
        <f>J107*(1+General[[#This Row],[Bench_Return]])</f>
        <v>2259.4901118879447</v>
      </c>
      <c r="K108" s="6">
        <f>(General[[#This Row],[Fund_Price]]-D96)/D96</f>
        <v>0.15821676402014476</v>
      </c>
      <c r="L108" s="6">
        <f>(General[[#This Row],[Benchmark_Price]]-E96)/E96</f>
        <v>0.13973708122629583</v>
      </c>
      <c r="M108">
        <f>MAX(M107,General[[#This Row],[Fund_Price]])</f>
        <v>447.70101928710938</v>
      </c>
      <c r="N108" s="9">
        <f>(General[[#This Row],[Fund_Price]]-General[[#This Row],[Highest Val]])/General[[#This Row],[Highest Val]]</f>
        <v>-2.5751133227500222E-2</v>
      </c>
    </row>
    <row r="109" spans="3:14" x14ac:dyDescent="0.3">
      <c r="C109" s="3">
        <v>45170</v>
      </c>
      <c r="D109">
        <v>414.02227783203119</v>
      </c>
      <c r="E109">
        <v>4288.0498046875</v>
      </c>
      <c r="F109" s="6">
        <f>IFERROR((General[[#This Row],[Fund_Price]]-D108)/D108,0)</f>
        <v>-5.0782540286364489E-2</v>
      </c>
      <c r="G109" s="6">
        <f>IFERROR((General[[#This Row],[Benchmark_Price]]-E108)/E108,0)</f>
        <v>-4.871936746562492E-2</v>
      </c>
      <c r="H109" s="6">
        <f>General[[#This Row],[Fund_Return]]-General[[#This Row],[Bench_Return]]</f>
        <v>-2.0631728207395686E-3</v>
      </c>
      <c r="I109">
        <f>I108*(1+General[[#This Row],[Fund_Return]])</f>
        <v>2499.774652018868</v>
      </c>
      <c r="J109">
        <f>J108*(1+General[[#This Row],[Bench_Return]])</f>
        <v>2149.40918284193</v>
      </c>
      <c r="K109" s="6">
        <f>(General[[#This Row],[Fund_Price]]-D97)/D97</f>
        <v>0.21636336217276761</v>
      </c>
      <c r="L109" s="6">
        <f>(General[[#This Row],[Benchmark_Price]]-E97)/E97</f>
        <v>0.19590187039974943</v>
      </c>
      <c r="M109">
        <f>MAX(M108,General[[#This Row],[Fund_Price]])</f>
        <v>447.70101928710938</v>
      </c>
      <c r="N109" s="9">
        <f>(General[[#This Row],[Fund_Price]]-General[[#This Row],[Highest Val]])/General[[#This Row],[Highest Val]]</f>
        <v>-7.5225965553319646E-2</v>
      </c>
    </row>
    <row r="110" spans="3:14" x14ac:dyDescent="0.3">
      <c r="C110" s="3">
        <v>45200</v>
      </c>
      <c r="D110">
        <v>406.46310424804688</v>
      </c>
      <c r="E110">
        <v>4193.7998046875</v>
      </c>
      <c r="F110" s="6">
        <f>IFERROR((General[[#This Row],[Fund_Price]]-D109)/D109,0)</f>
        <v>-1.825789091245731E-2</v>
      </c>
      <c r="G110" s="6">
        <f>IFERROR((General[[#This Row],[Benchmark_Price]]-E109)/E109,0)</f>
        <v>-2.1979688737982988E-2</v>
      </c>
      <c r="H110" s="6">
        <f>General[[#This Row],[Fund_Return]]-General[[#This Row],[Bench_Return]]</f>
        <v>3.721797825525678E-3</v>
      </c>
      <c r="I110">
        <f>I109*(1+General[[#This Row],[Fund_Return]])</f>
        <v>2454.1340391165813</v>
      </c>
      <c r="J110">
        <f>J109*(1+General[[#This Row],[Bench_Return]])</f>
        <v>2102.1658380325021</v>
      </c>
      <c r="K110" s="6">
        <f>(General[[#This Row],[Fund_Price]]-D98)/D98</f>
        <v>9.98767664093788E-2</v>
      </c>
      <c r="L110" s="6">
        <f>(General[[#This Row],[Benchmark_Price]]-E98)/E98</f>
        <v>8.3115053755982951E-2</v>
      </c>
      <c r="M110">
        <f>MAX(M109,General[[#This Row],[Fund_Price]])</f>
        <v>447.70101928710938</v>
      </c>
      <c r="N110" s="9">
        <f>(General[[#This Row],[Fund_Price]]-General[[#This Row],[Highest Val]])/General[[#This Row],[Highest Val]]</f>
        <v>-9.2110388992920164E-2</v>
      </c>
    </row>
    <row r="111" spans="3:14" x14ac:dyDescent="0.3">
      <c r="C111" s="3">
        <v>45231</v>
      </c>
      <c r="D111">
        <v>443.59100341796881</v>
      </c>
      <c r="E111">
        <v>4567.7998046875</v>
      </c>
      <c r="F111" s="6">
        <f>IFERROR((General[[#This Row],[Fund_Price]]-D110)/D110,0)</f>
        <v>9.1343836087184868E-2</v>
      </c>
      <c r="G111" s="6">
        <f>IFERROR((General[[#This Row],[Benchmark_Price]]-E110)/E110,0)</f>
        <v>8.9179268781970036E-2</v>
      </c>
      <c r="H111" s="6">
        <f>General[[#This Row],[Fund_Return]]-General[[#This Row],[Bench_Return]]</f>
        <v>2.1645673052148318E-3</v>
      </c>
      <c r="I111">
        <f>I110*(1+General[[#This Row],[Fund_Return]])</f>
        <v>2678.304056521627</v>
      </c>
      <c r="J111">
        <f>J110*(1+General[[#This Row],[Bench_Return]])</f>
        <v>2289.635450326678</v>
      </c>
      <c r="K111" s="6">
        <f>(General[[#This Row],[Fund_Price]]-D99)/D99</f>
        <v>0.13712898125671316</v>
      </c>
      <c r="L111" s="6">
        <f>(General[[#This Row],[Benchmark_Price]]-E99)/E99</f>
        <v>0.11952856281464046</v>
      </c>
      <c r="M111">
        <f>MAX(M110,General[[#This Row],[Fund_Price]])</f>
        <v>447.70101928710938</v>
      </c>
      <c r="N111" s="9">
        <f>(General[[#This Row],[Fund_Price]]-General[[#This Row],[Highest Val]])/General[[#This Row],[Highest Val]]</f>
        <v>-9.1802691798314323E-3</v>
      </c>
    </row>
    <row r="112" spans="3:14" x14ac:dyDescent="0.3">
      <c r="C112" s="3">
        <v>45261</v>
      </c>
      <c r="D112">
        <v>461.97024536132813</v>
      </c>
      <c r="E112">
        <v>4769.830078125</v>
      </c>
      <c r="F112" s="6">
        <f>IFERROR((General[[#This Row],[Fund_Price]]-D111)/D111,0)</f>
        <v>4.1432855494685672E-2</v>
      </c>
      <c r="G112" s="6">
        <f>IFERROR((General[[#This Row],[Benchmark_Price]]-E111)/E111,0)</f>
        <v>4.4229231156360113E-2</v>
      </c>
      <c r="H112" s="6">
        <f>General[[#This Row],[Fund_Return]]-General[[#This Row],[Bench_Return]]</f>
        <v>-2.7963756616744412E-3</v>
      </c>
      <c r="I112">
        <f>I111*(1+General[[#This Row],[Fund_Return]])</f>
        <v>2789.2738414663181</v>
      </c>
      <c r="J112">
        <f>J111*(1+General[[#This Row],[Bench_Return]])</f>
        <v>2390.9042659229735</v>
      </c>
      <c r="K112" s="6">
        <f>(General[[#This Row],[Fund_Price]]-D100)/D100</f>
        <v>0.26243336461790284</v>
      </c>
      <c r="L112" s="6">
        <f>(General[[#This Row],[Benchmark_Price]]-E100)/E100</f>
        <v>0.242305007976299</v>
      </c>
      <c r="M112">
        <f>MAX(M111,General[[#This Row],[Fund_Price]])</f>
        <v>461.97024536132813</v>
      </c>
      <c r="N112" s="9">
        <f>(General[[#This Row],[Fund_Price]]-General[[#This Row],[Highest Val]])/General[[#This Row],[Highest Val]]</f>
        <v>0</v>
      </c>
    </row>
    <row r="113" spans="3:14" x14ac:dyDescent="0.3">
      <c r="C113" s="3">
        <v>45292</v>
      </c>
      <c r="D113">
        <v>471.23065185546881</v>
      </c>
      <c r="E113">
        <v>4845.64990234375</v>
      </c>
      <c r="F113" s="6">
        <f>IFERROR((General[[#This Row],[Fund_Price]]-D112)/D112,0)</f>
        <v>2.0045460908197005E-2</v>
      </c>
      <c r="G113" s="6">
        <f>IFERROR((General[[#This Row],[Benchmark_Price]]-E112)/E112,0)</f>
        <v>1.5895707598991546E-2</v>
      </c>
      <c r="H113" s="6">
        <f>General[[#This Row],[Fund_Return]]-General[[#This Row],[Bench_Return]]</f>
        <v>4.1497533092054589E-3</v>
      </c>
      <c r="I113">
        <f>I112*(1+General[[#This Row],[Fund_Return]])</f>
        <v>2845.1861212176877</v>
      </c>
      <c r="J113">
        <f>J112*(1+General[[#This Row],[Bench_Return]])</f>
        <v>2428.909381031267</v>
      </c>
      <c r="K113" s="6">
        <f>(General[[#This Row],[Fund_Price]]-D101)/D101</f>
        <v>0.2060105245333973</v>
      </c>
      <c r="L113" s="6">
        <f>(General[[#This Row],[Benchmark_Price]]-E101)/E101</f>
        <v>0.18864980284174745</v>
      </c>
      <c r="M113">
        <f>MAX(M112,General[[#This Row],[Fund_Price]])</f>
        <v>471.23065185546881</v>
      </c>
      <c r="N113" s="9">
        <f>(General[[#This Row],[Fund_Price]]-General[[#This Row],[Highest Val]])/General[[#This Row],[Highest Val]]</f>
        <v>0</v>
      </c>
    </row>
    <row r="114" spans="3:14" x14ac:dyDescent="0.3">
      <c r="C114" s="3">
        <v>45323</v>
      </c>
      <c r="D114">
        <v>495.82272338867188</v>
      </c>
      <c r="E114">
        <v>5096.27001953125</v>
      </c>
      <c r="F114" s="6">
        <f>IFERROR((General[[#This Row],[Fund_Price]]-D113)/D113,0)</f>
        <v>5.2186909820852875E-2</v>
      </c>
      <c r="G114" s="6">
        <f>IFERROR((General[[#This Row],[Benchmark_Price]]-E113)/E113,0)</f>
        <v>5.1720640623723092E-2</v>
      </c>
      <c r="H114" s="6">
        <f>General[[#This Row],[Fund_Return]]-General[[#This Row],[Bench_Return]]</f>
        <v>4.6626919712978304E-4</v>
      </c>
      <c r="I114">
        <f>I113*(1+General[[#This Row],[Fund_Return]])</f>
        <v>2993.6675927492174</v>
      </c>
      <c r="J114">
        <f>J113*(1+General[[#This Row],[Bench_Return]])</f>
        <v>2554.5341302351749</v>
      </c>
      <c r="K114" s="6">
        <f>(General[[#This Row],[Fund_Price]]-D102)/D102</f>
        <v>0.30167569388612686</v>
      </c>
      <c r="L114" s="6">
        <f>(General[[#This Row],[Benchmark_Price]]-E102)/E102</f>
        <v>0.28364675009442414</v>
      </c>
      <c r="M114">
        <f>MAX(M113,General[[#This Row],[Fund_Price]])</f>
        <v>495.82272338867188</v>
      </c>
      <c r="N114" s="9">
        <f>(General[[#This Row],[Fund_Price]]-General[[#This Row],[Highest Val]])/General[[#This Row],[Highest Val]]</f>
        <v>0</v>
      </c>
    </row>
    <row r="115" spans="3:14" x14ac:dyDescent="0.3">
      <c r="C115" s="3">
        <v>45352</v>
      </c>
      <c r="D115">
        <v>510.45108032226563</v>
      </c>
      <c r="E115">
        <v>5254.35009765625</v>
      </c>
      <c r="F115" s="6">
        <f>IFERROR((General[[#This Row],[Fund_Price]]-D114)/D114,0)</f>
        <v>2.9503199921167563E-2</v>
      </c>
      <c r="G115" s="6">
        <f>IFERROR((General[[#This Row],[Benchmark_Price]]-E114)/E114,0)</f>
        <v>3.1018779915342878E-2</v>
      </c>
      <c r="H115" s="6">
        <f>General[[#This Row],[Fund_Return]]-General[[#This Row],[Bench_Return]]</f>
        <v>-1.5155799941753145E-3</v>
      </c>
      <c r="I115">
        <f>I114*(1+General[[#This Row],[Fund_Return]])</f>
        <v>3081.9903662356178</v>
      </c>
      <c r="J115">
        <f>J114*(1+General[[#This Row],[Bench_Return]])</f>
        <v>2633.7726622071718</v>
      </c>
      <c r="K115" s="6">
        <f>(General[[#This Row],[Fund_Price]]-D103)/D103</f>
        <v>0.29710048723291543</v>
      </c>
      <c r="L115" s="6">
        <f>(General[[#This Row],[Benchmark_Price]]-E103)/E103</f>
        <v>0.27864532554994037</v>
      </c>
      <c r="M115">
        <f>MAX(M114,General[[#This Row],[Fund_Price]])</f>
        <v>510.45108032226563</v>
      </c>
      <c r="N115" s="9">
        <f>(General[[#This Row],[Fund_Price]]-General[[#This Row],[Highest Val]])/General[[#This Row],[Highest Val]]</f>
        <v>0</v>
      </c>
    </row>
    <row r="116" spans="3:14" x14ac:dyDescent="0.3">
      <c r="C116" s="3">
        <v>45383</v>
      </c>
      <c r="D116">
        <v>491.39193725585938</v>
      </c>
      <c r="E116">
        <v>5035.68994140625</v>
      </c>
      <c r="F116" s="6">
        <f>IFERROR((General[[#This Row],[Fund_Price]]-D115)/D115,0)</f>
        <v>-3.7337844508769667E-2</v>
      </c>
      <c r="G116" s="6">
        <f>IFERROR((General[[#This Row],[Benchmark_Price]]-E115)/E115,0)</f>
        <v>-4.1615071737898725E-2</v>
      </c>
      <c r="H116" s="6">
        <f>General[[#This Row],[Fund_Return]]-General[[#This Row],[Bench_Return]]</f>
        <v>4.2772272291290575E-3</v>
      </c>
      <c r="I116">
        <f>I115*(1+General[[#This Row],[Fund_Return]])</f>
        <v>2966.9154891635862</v>
      </c>
      <c r="J116">
        <f>J115*(1+General[[#This Row],[Bench_Return]])</f>
        <v>2524.168023928104</v>
      </c>
      <c r="K116" s="6">
        <f>(General[[#This Row],[Fund_Price]]-D104)/D104</f>
        <v>0.22436282598933019</v>
      </c>
      <c r="L116" s="6">
        <f>(General[[#This Row],[Benchmark_Price]]-E104)/E104</f>
        <v>0.20775011871866983</v>
      </c>
      <c r="M116">
        <f>MAX(M115,General[[#This Row],[Fund_Price]])</f>
        <v>510.45108032226563</v>
      </c>
      <c r="N116" s="9">
        <f>(General[[#This Row],[Fund_Price]]-General[[#This Row],[Highest Val]])/General[[#This Row],[Highest Val]]</f>
        <v>-3.7337844508769667E-2</v>
      </c>
    </row>
    <row r="117" spans="3:14" x14ac:dyDescent="0.3">
      <c r="C117" s="3">
        <v>45413</v>
      </c>
      <c r="D117">
        <v>516.246337890625</v>
      </c>
      <c r="E117">
        <v>5277.509765625</v>
      </c>
      <c r="F117" s="6">
        <f>IFERROR((General[[#This Row],[Fund_Price]]-D116)/D116,0)</f>
        <v>5.0579585765210398E-2</v>
      </c>
      <c r="G117" s="6">
        <f>IFERROR((General[[#This Row],[Benchmark_Price]]-E116)/E116,0)</f>
        <v>4.8021190151199065E-2</v>
      </c>
      <c r="H117" s="6">
        <f>General[[#This Row],[Fund_Return]]-General[[#This Row],[Bench_Return]]</f>
        <v>2.5583956140113329E-3</v>
      </c>
      <c r="I117">
        <f>I116*(1+General[[#This Row],[Fund_Return]])</f>
        <v>3116.9808456058672</v>
      </c>
      <c r="J117">
        <f>J116*(1+General[[#This Row],[Bench_Return]])</f>
        <v>2645.3815765787322</v>
      </c>
      <c r="K117" s="6">
        <f>(General[[#This Row],[Fund_Price]]-D105)/D105</f>
        <v>0.28038009131558828</v>
      </c>
      <c r="L117" s="6">
        <f>(General[[#This Row],[Benchmark_Price]]-E105)/E105</f>
        <v>0.26261347159652965</v>
      </c>
      <c r="M117">
        <f>MAX(M116,General[[#This Row],[Fund_Price]])</f>
        <v>516.246337890625</v>
      </c>
      <c r="N117" s="9">
        <f>(General[[#This Row],[Fund_Price]]-General[[#This Row],[Highest Val]])/General[[#This Row],[Highest Val]]</f>
        <v>0</v>
      </c>
    </row>
    <row r="118" spans="3:14" x14ac:dyDescent="0.3">
      <c r="C118" s="3">
        <v>45444</v>
      </c>
      <c r="D118">
        <v>532.74090576171875</v>
      </c>
      <c r="E118">
        <v>5460.47998046875</v>
      </c>
      <c r="F118" s="6">
        <f>IFERROR((General[[#This Row],[Fund_Price]]-D117)/D117,0)</f>
        <v>3.1950963446036852E-2</v>
      </c>
      <c r="G118" s="6">
        <f>IFERROR((General[[#This Row],[Benchmark_Price]]-E117)/E117,0)</f>
        <v>3.4669801283083251E-2</v>
      </c>
      <c r="H118" s="6">
        <f>General[[#This Row],[Fund_Return]]-General[[#This Row],[Bench_Return]]</f>
        <v>-2.7188378370463992E-3</v>
      </c>
      <c r="I118">
        <f>I117*(1+General[[#This Row],[Fund_Return]])</f>
        <v>3216.5713866658175</v>
      </c>
      <c r="J118">
        <f>J117*(1+General[[#This Row],[Bench_Return]])</f>
        <v>2737.0964301566464</v>
      </c>
      <c r="K118" s="6">
        <f>(General[[#This Row],[Fund_Price]]-D106)/D106</f>
        <v>0.24549009949449388</v>
      </c>
      <c r="L118" s="6">
        <f>(General[[#This Row],[Benchmark_Price]]-E106)/E106</f>
        <v>0.22696941030973261</v>
      </c>
      <c r="M118">
        <f>MAX(M117,General[[#This Row],[Fund_Price]])</f>
        <v>532.74090576171875</v>
      </c>
      <c r="N118" s="9">
        <f>(General[[#This Row],[Fund_Price]]-General[[#This Row],[Highest Val]])/General[[#This Row],[Highest Val]]</f>
        <v>0</v>
      </c>
    </row>
    <row r="119" spans="3:14" x14ac:dyDescent="0.3">
      <c r="C119" s="3">
        <v>45474</v>
      </c>
      <c r="D119">
        <v>540.931396484375</v>
      </c>
      <c r="E119">
        <v>5522.2998046875</v>
      </c>
      <c r="F119" s="6">
        <f>IFERROR((General[[#This Row],[Fund_Price]]-D118)/D118,0)</f>
        <v>1.5374247845574007E-2</v>
      </c>
      <c r="G119" s="6">
        <f>IFERROR((General[[#This Row],[Benchmark_Price]]-E118)/E118,0)</f>
        <v>1.1321316887868735E-2</v>
      </c>
      <c r="H119" s="6">
        <f>General[[#This Row],[Fund_Return]]-General[[#This Row],[Bench_Return]]</f>
        <v>4.0529309577052725E-3</v>
      </c>
      <c r="I119">
        <f>I118*(1+General[[#This Row],[Fund_Return]])</f>
        <v>3266.0237523773994</v>
      </c>
      <c r="J119">
        <f>J118*(1+General[[#This Row],[Bench_Return]])</f>
        <v>2768.083966195104</v>
      </c>
      <c r="K119" s="6">
        <f>(General[[#This Row],[Fund_Price]]-D107)/D107</f>
        <v>0.22002294506866865</v>
      </c>
      <c r="L119" s="6">
        <f>(General[[#This Row],[Benchmark_Price]]-E107)/E107</f>
        <v>0.20338809919782427</v>
      </c>
      <c r="M119">
        <f>MAX(M118,General[[#This Row],[Fund_Price]])</f>
        <v>540.931396484375</v>
      </c>
      <c r="N119" s="9">
        <f>(General[[#This Row],[Fund_Price]]-General[[#This Row],[Highest Val]])/General[[#This Row],[Highest Val]]</f>
        <v>0</v>
      </c>
    </row>
    <row r="120" spans="3:14" x14ac:dyDescent="0.3">
      <c r="C120" s="3">
        <v>45505</v>
      </c>
      <c r="D120">
        <v>553.5706787109375</v>
      </c>
      <c r="E120">
        <v>5648.39990234375</v>
      </c>
      <c r="F120" s="6">
        <f>IFERROR((General[[#This Row],[Fund_Price]]-D119)/D119,0)</f>
        <v>2.3365776711627036E-2</v>
      </c>
      <c r="G120" s="6">
        <f>IFERROR((General[[#This Row],[Benchmark_Price]]-E119)/E119,0)</f>
        <v>2.2834706936630336E-2</v>
      </c>
      <c r="H120" s="6">
        <f>General[[#This Row],[Fund_Return]]-General[[#This Row],[Bench_Return]]</f>
        <v>5.3106977499670083E-4</v>
      </c>
      <c r="I120">
        <f>I119*(1+General[[#This Row],[Fund_Return]])</f>
        <v>3342.3369341103203</v>
      </c>
      <c r="J120">
        <f>J119*(1+General[[#This Row],[Bench_Return]])</f>
        <v>2831.2923523391546</v>
      </c>
      <c r="K120" s="6">
        <f>(General[[#This Row],[Fund_Price]]-D108)/D108</f>
        <v>0.2691562303590046</v>
      </c>
      <c r="L120" s="6">
        <f>(General[[#This Row],[Benchmark_Price]]-E108)/E108</f>
        <v>0.25306693640426325</v>
      </c>
      <c r="M120">
        <f>MAX(M119,General[[#This Row],[Fund_Price]])</f>
        <v>553.5706787109375</v>
      </c>
      <c r="N120" s="9">
        <f>(General[[#This Row],[Fund_Price]]-General[[#This Row],[Highest Val]])/General[[#This Row],[Highest Val]]</f>
        <v>0</v>
      </c>
    </row>
    <row r="121" spans="3:14" x14ac:dyDescent="0.3">
      <c r="C121" s="3">
        <v>45536</v>
      </c>
      <c r="D121">
        <v>563.4698486328125</v>
      </c>
      <c r="E121">
        <v>5762.47998046875</v>
      </c>
      <c r="F121" s="6">
        <f>IFERROR((General[[#This Row],[Fund_Price]]-D120)/D120,0)</f>
        <v>1.788239569502945E-2</v>
      </c>
      <c r="G121" s="6">
        <f>IFERROR((General[[#This Row],[Benchmark_Price]]-E120)/E120,0)</f>
        <v>2.0196884090601226E-2</v>
      </c>
      <c r="H121" s="6">
        <f>General[[#This Row],[Fund_Return]]-General[[#This Row],[Bench_Return]]</f>
        <v>-2.3144883955717767E-3</v>
      </c>
      <c r="I121">
        <f>I120*(1+General[[#This Row],[Fund_Return]])</f>
        <v>3402.1059257121924</v>
      </c>
      <c r="J121">
        <f>J120*(1+General[[#This Row],[Bench_Return]])</f>
        <v>2888.4756358059544</v>
      </c>
      <c r="K121" s="6">
        <f>(General[[#This Row],[Fund_Price]]-D109)/D109</f>
        <v>0.36096504657513184</v>
      </c>
      <c r="L121" s="6">
        <f>(General[[#This Row],[Benchmark_Price]]-E109)/E109</f>
        <v>0.34384632710409996</v>
      </c>
      <c r="M121">
        <f>MAX(M120,General[[#This Row],[Fund_Price]])</f>
        <v>563.4698486328125</v>
      </c>
      <c r="N121" s="9">
        <f>(General[[#This Row],[Fund_Price]]-General[[#This Row],[Highest Val]])/General[[#This Row],[Highest Val]]</f>
        <v>0</v>
      </c>
    </row>
    <row r="122" spans="3:14" x14ac:dyDescent="0.3">
      <c r="C122" s="3">
        <v>45566</v>
      </c>
      <c r="D122">
        <v>560.1546630859375</v>
      </c>
      <c r="E122">
        <v>5705.4501953125</v>
      </c>
      <c r="F122" s="6">
        <f>IFERROR((General[[#This Row],[Fund_Price]]-D121)/D121,0)</f>
        <v>-5.8835189760709887E-3</v>
      </c>
      <c r="G122" s="6">
        <f>IFERROR((General[[#This Row],[Benchmark_Price]]-E121)/E121,0)</f>
        <v>-9.8967433031517272E-3</v>
      </c>
      <c r="H122" s="6">
        <f>General[[#This Row],[Fund_Return]]-General[[#This Row],[Bench_Return]]</f>
        <v>4.0132243270807385E-3</v>
      </c>
      <c r="I122">
        <f>I121*(1+General[[#This Row],[Fund_Return]])</f>
        <v>3382.0895709396614</v>
      </c>
      <c r="J122">
        <f>J121*(1+General[[#This Row],[Bench_Return]])</f>
        <v>2859.8891339009751</v>
      </c>
      <c r="K122" s="6">
        <f>(General[[#This Row],[Fund_Price]]-D110)/D110</f>
        <v>0.37811933538769438</v>
      </c>
      <c r="L122" s="6">
        <f>(General[[#This Row],[Benchmark_Price]]-E110)/E110</f>
        <v>0.36044886762009859</v>
      </c>
      <c r="M122">
        <f>MAX(M121,General[[#This Row],[Fund_Price]])</f>
        <v>563.4698486328125</v>
      </c>
      <c r="N122" s="9">
        <f>(General[[#This Row],[Fund_Price]]-General[[#This Row],[Highest Val]])/General[[#This Row],[Highest Val]]</f>
        <v>-5.8835189760709887E-3</v>
      </c>
    </row>
    <row r="123" spans="3:14" x14ac:dyDescent="0.3">
      <c r="C123" s="3">
        <v>45597</v>
      </c>
      <c r="D123">
        <v>593.55859375</v>
      </c>
      <c r="E123">
        <v>6032.3798828125</v>
      </c>
      <c r="F123" s="6">
        <f>IFERROR((General[[#This Row],[Fund_Price]]-D122)/D122,0)</f>
        <v>5.9633406388224168E-2</v>
      </c>
      <c r="G123" s="6">
        <f>IFERROR((General[[#This Row],[Benchmark_Price]]-E122)/E122,0)</f>
        <v>5.7301295482098821E-2</v>
      </c>
      <c r="H123" s="6">
        <f>General[[#This Row],[Fund_Return]]-General[[#This Row],[Bench_Return]]</f>
        <v>2.3321109061253467E-3</v>
      </c>
      <c r="I123">
        <f>I122*(1+General[[#This Row],[Fund_Return]])</f>
        <v>3583.7750927648813</v>
      </c>
      <c r="J123">
        <f>J122*(1+General[[#This Row],[Bench_Return]])</f>
        <v>3023.7644862086786</v>
      </c>
      <c r="K123" s="6">
        <f>(General[[#This Row],[Fund_Price]]-D111)/D111</f>
        <v>0.33807626659805329</v>
      </c>
      <c r="L123" s="6">
        <f>(General[[#This Row],[Benchmark_Price]]-E111)/E111</f>
        <v>0.32063140696797621</v>
      </c>
      <c r="M123">
        <f>MAX(M122,General[[#This Row],[Fund_Price]])</f>
        <v>593.55859375</v>
      </c>
      <c r="N123" s="9">
        <f>(General[[#This Row],[Fund_Price]]-General[[#This Row],[Highest Val]])/General[[#This Row],[Highest Val]]</f>
        <v>0</v>
      </c>
    </row>
    <row r="124" spans="3:14" x14ac:dyDescent="0.3">
      <c r="C124" s="3">
        <v>45627</v>
      </c>
      <c r="D124">
        <v>577.33428955078125</v>
      </c>
      <c r="E124">
        <v>5881.6298828125</v>
      </c>
      <c r="F124" s="6">
        <f>IFERROR((General[[#This Row],[Fund_Price]]-D123)/D123,0)</f>
        <v>-2.7333955518555324E-2</v>
      </c>
      <c r="G124" s="6">
        <f>IFERROR((General[[#This Row],[Benchmark_Price]]-E123)/E123,0)</f>
        <v>-2.4990137048483629E-2</v>
      </c>
      <c r="H124" s="6">
        <f>General[[#This Row],[Fund_Return]]-General[[#This Row],[Bench_Return]]</f>
        <v>-2.3438184700716944E-3</v>
      </c>
      <c r="I124">
        <f>I123*(1+General[[#This Row],[Fund_Return]])</f>
        <v>3485.8163437907397</v>
      </c>
      <c r="J124">
        <f>J123*(1+General[[#This Row],[Bench_Return]])</f>
        <v>2948.2001972959861</v>
      </c>
      <c r="K124" s="6">
        <f>(General[[#This Row],[Fund_Price]]-D112)/D112</f>
        <v>0.24972180643197403</v>
      </c>
      <c r="L124" s="6">
        <f>(General[[#This Row],[Benchmark_Price]]-E112)/E112</f>
        <v>0.23309002343424021</v>
      </c>
      <c r="M124">
        <f>MAX(M123,General[[#This Row],[Fund_Price]])</f>
        <v>593.55859375</v>
      </c>
      <c r="N124" s="9">
        <f>(General[[#This Row],[Fund_Price]]-General[[#This Row],[Highest Val]])/General[[#This Row],[Highest Val]]</f>
        <v>-2.7333955518555324E-2</v>
      </c>
    </row>
    <row r="125" spans="3:14" x14ac:dyDescent="0.3">
      <c r="C125" s="3">
        <v>45658</v>
      </c>
      <c r="D125">
        <v>594.834716796875</v>
      </c>
      <c r="E125">
        <v>6040.52978515625</v>
      </c>
      <c r="F125" s="6">
        <f>IFERROR((General[[#This Row],[Fund_Price]]-D124)/D124,0)</f>
        <v>3.0312468119138878E-2</v>
      </c>
      <c r="G125" s="6">
        <f>IFERROR((General[[#This Row],[Benchmark_Price]]-E124)/E124,0)</f>
        <v>2.7016304240444086E-2</v>
      </c>
      <c r="H125" s="6">
        <f>General[[#This Row],[Fund_Return]]-General[[#This Row],[Bench_Return]]</f>
        <v>3.2961638786947918E-3</v>
      </c>
      <c r="I125">
        <f>I124*(1+General[[#This Row],[Fund_Return]])</f>
        <v>3591.4800405810697</v>
      </c>
      <c r="J125">
        <f>J124*(1+General[[#This Row],[Bench_Return]])</f>
        <v>3027.8496707878717</v>
      </c>
      <c r="K125" s="6">
        <f>(General[[#This Row],[Fund_Price]]-D113)/D113</f>
        <v>0.26230056227182097</v>
      </c>
      <c r="L125" s="6">
        <f>(General[[#This Row],[Benchmark_Price]]-E113)/E113</f>
        <v>0.24658815781027824</v>
      </c>
      <c r="M125">
        <f>MAX(M124,General[[#This Row],[Fund_Price]])</f>
        <v>594.834716796875</v>
      </c>
      <c r="N125" s="9">
        <f>(General[[#This Row],[Fund_Price]]-General[[#This Row],[Highest Val]])/General[[#This Row],[Highest Val]]</f>
        <v>0</v>
      </c>
    </row>
    <row r="126" spans="3:14" x14ac:dyDescent="0.3">
      <c r="C126" s="3">
        <v>45689</v>
      </c>
      <c r="D126">
        <v>587.283447265625</v>
      </c>
      <c r="E126">
        <v>5954.5</v>
      </c>
      <c r="F126" s="6">
        <f>IFERROR((General[[#This Row],[Fund_Price]]-D125)/D125,0)</f>
        <v>-1.2694735727451863E-2</v>
      </c>
      <c r="G126" s="6">
        <f>IFERROR((General[[#This Row],[Benchmark_Price]]-E125)/E125,0)</f>
        <v>-1.4242092699825116E-2</v>
      </c>
      <c r="H126" s="6">
        <f>General[[#This Row],[Fund_Return]]-General[[#This Row],[Bench_Return]]</f>
        <v>1.5473569723732528E-3</v>
      </c>
      <c r="I126">
        <f>I125*(1+General[[#This Row],[Fund_Return]])</f>
        <v>3545.8871505954748</v>
      </c>
      <c r="J126">
        <f>J125*(1+General[[#This Row],[Bench_Return]])</f>
        <v>2984.7267550953757</v>
      </c>
      <c r="K126" s="6">
        <f>(General[[#This Row],[Fund_Price]]-D114)/D114</f>
        <v>0.18446254994500871</v>
      </c>
      <c r="L126" s="6">
        <f>(General[[#This Row],[Benchmark_Price]]-E114)/E114</f>
        <v>0.16840355341840563</v>
      </c>
      <c r="M126">
        <f>MAX(M125,General[[#This Row],[Fund_Price]])</f>
        <v>594.834716796875</v>
      </c>
      <c r="N126" s="9">
        <f>(General[[#This Row],[Fund_Price]]-General[[#This Row],[Highest Val]])/General[[#This Row],[Highest Val]]</f>
        <v>-1.2694735727451863E-2</v>
      </c>
    </row>
    <row r="127" spans="3:14" x14ac:dyDescent="0.3">
      <c r="C127" s="3">
        <v>45717</v>
      </c>
      <c r="D127">
        <v>552.897216796875</v>
      </c>
      <c r="E127">
        <v>5611.85009765625</v>
      </c>
      <c r="F127" s="6">
        <f>IFERROR((General[[#This Row],[Fund_Price]]-D126)/D126,0)</f>
        <v>-5.8551336035182519E-2</v>
      </c>
      <c r="G127" s="6">
        <f>IFERROR((General[[#This Row],[Benchmark_Price]]-E126)/E126,0)</f>
        <v>-5.7544697681375427E-2</v>
      </c>
      <c r="H127" s="6">
        <f>General[[#This Row],[Fund_Return]]-General[[#This Row],[Bench_Return]]</f>
        <v>-1.0066383538070919E-3</v>
      </c>
      <c r="I127">
        <f>I126*(1+General[[#This Row],[Fund_Return]])</f>
        <v>3338.2707204981234</v>
      </c>
      <c r="J127">
        <f>J126*(1+General[[#This Row],[Bench_Return]])</f>
        <v>2812.9715563118998</v>
      </c>
      <c r="K127" s="6">
        <f>(General[[#This Row],[Fund_Price]]-D115)/D115</f>
        <v>8.3154171106488095E-2</v>
      </c>
      <c r="L127" s="6">
        <f>(General[[#This Row],[Benchmark_Price]]-E115)/E115</f>
        <v>6.8038861772736853E-2</v>
      </c>
      <c r="M127">
        <f>MAX(M126,General[[#This Row],[Fund_Price]])</f>
        <v>594.834716796875</v>
      </c>
      <c r="N127" s="9">
        <f>(General[[#This Row],[Fund_Price]]-General[[#This Row],[Highest Val]])/General[[#This Row],[Highest Val]]</f>
        <v>-7.0502778025178514E-2</v>
      </c>
    </row>
    <row r="128" spans="3:14" x14ac:dyDescent="0.3">
      <c r="C128" s="3">
        <v>45748</v>
      </c>
      <c r="D128">
        <v>549.7523193359375</v>
      </c>
      <c r="E128">
        <v>5569.06005859375</v>
      </c>
      <c r="F128" s="6">
        <f>IFERROR((General[[#This Row],[Fund_Price]]-D127)/D127,0)</f>
        <v>-5.6880327218085487E-3</v>
      </c>
      <c r="G128" s="6">
        <f>IFERROR((General[[#This Row],[Benchmark_Price]]-E127)/E127,0)</f>
        <v>-7.6249433462898374E-3</v>
      </c>
      <c r="H128" s="6">
        <f>General[[#This Row],[Fund_Return]]-General[[#This Row],[Bench_Return]]</f>
        <v>1.9369106244812887E-3</v>
      </c>
      <c r="I128">
        <f>I127*(1+General[[#This Row],[Fund_Return]])</f>
        <v>3319.282527405675</v>
      </c>
      <c r="J128">
        <f>J127*(1+General[[#This Row],[Bench_Return]])</f>
        <v>2791.5228075602968</v>
      </c>
      <c r="K128" s="6">
        <f>(General[[#This Row],[Fund_Price]]-D116)/D116</f>
        <v>0.11876544496433378</v>
      </c>
      <c r="L128" s="6">
        <f>(General[[#This Row],[Benchmark_Price]]-E116)/E116</f>
        <v>0.10591798212233711</v>
      </c>
      <c r="M128">
        <f>MAX(M127,General[[#This Row],[Fund_Price]])</f>
        <v>594.834716796875</v>
      </c>
      <c r="N128" s="9">
        <f>(General[[#This Row],[Fund_Price]]-General[[#This Row],[Highest Val]])/General[[#This Row],[Highest Val]]</f>
        <v>-7.5789788638601432E-2</v>
      </c>
    </row>
    <row r="129" spans="3:14" x14ac:dyDescent="0.3">
      <c r="C129" s="3">
        <v>45778</v>
      </c>
      <c r="D129">
        <v>584.301513671875</v>
      </c>
      <c r="E129">
        <v>5911.68994140625</v>
      </c>
      <c r="F129" s="6">
        <f>IFERROR((General[[#This Row],[Fund_Price]]-D128)/D128,0)</f>
        <v>6.2845017875814549E-2</v>
      </c>
      <c r="G129" s="6">
        <f>IFERROR((General[[#This Row],[Benchmark_Price]]-E128)/E128,0)</f>
        <v>6.1523826140782882E-2</v>
      </c>
      <c r="H129" s="6">
        <f>General[[#This Row],[Fund_Return]]-General[[#This Row],[Bench_Return]]</f>
        <v>1.3211917350316668E-3</v>
      </c>
      <c r="I129">
        <f>I128*(1+General[[#This Row],[Fund_Return]])</f>
        <v>3527.8828971753637</v>
      </c>
      <c r="J129">
        <f>J128*(1+General[[#This Row],[Bench_Return]])</f>
        <v>2963.2679714406668</v>
      </c>
      <c r="K129" s="6">
        <f>(General[[#This Row],[Fund_Price]]-D117)/D117</f>
        <v>0.13182694149332363</v>
      </c>
      <c r="L129" s="6">
        <f>(General[[#This Row],[Benchmark_Price]]-E117)/E117</f>
        <v>0.12016655656650327</v>
      </c>
      <c r="M129">
        <f>MAX(M128,General[[#This Row],[Fund_Price]])</f>
        <v>594.834716796875</v>
      </c>
      <c r="N129" s="9">
        <f>(General[[#This Row],[Fund_Price]]-General[[#This Row],[Highest Val]])/General[[#This Row],[Highest Val]]</f>
        <v>-1.7707781384584002E-2</v>
      </c>
    </row>
    <row r="130" spans="3:14" x14ac:dyDescent="0.3">
      <c r="C130" s="3">
        <v>45809</v>
      </c>
      <c r="D130">
        <v>612.51568603515625</v>
      </c>
      <c r="E130">
        <v>6204.9501953125</v>
      </c>
      <c r="F130" s="6">
        <f>IFERROR((General[[#This Row],[Fund_Price]]-D129)/D129,0)</f>
        <v>4.8287008852633956E-2</v>
      </c>
      <c r="G130" s="6">
        <f>IFERROR((General[[#This Row],[Benchmark_Price]]-E129)/E129,0)</f>
        <v>4.960683946771579E-2</v>
      </c>
      <c r="H130" s="6">
        <f>General[[#This Row],[Fund_Return]]-General[[#This Row],[Bench_Return]]</f>
        <v>-1.3198306150818337E-3</v>
      </c>
      <c r="I130">
        <f>I129*(1+General[[#This Row],[Fund_Return]])</f>
        <v>3698.2338098623263</v>
      </c>
      <c r="J130">
        <f>J129*(1+General[[#This Row],[Bench_Return]])</f>
        <v>3110.266329999748</v>
      </c>
      <c r="K130" s="6">
        <f>(General[[#This Row],[Fund_Price]]-D118)/D118</f>
        <v>0.14974404895635834</v>
      </c>
      <c r="L130" s="6">
        <f>(General[[#This Row],[Benchmark_Price]]-E118)/E118</f>
        <v>0.13633787093929453</v>
      </c>
      <c r="M130">
        <f>MAX(M129,General[[#This Row],[Fund_Price]])</f>
        <v>612.51568603515625</v>
      </c>
      <c r="N130" s="9">
        <f>(General[[#This Row],[Fund_Price]]-General[[#This Row],[Highest Val]])/General[[#This Row],[Highest Val]]</f>
        <v>0</v>
      </c>
    </row>
    <row r="131" spans="3:14" x14ac:dyDescent="0.3">
      <c r="C131" s="3">
        <v>45839</v>
      </c>
      <c r="D131">
        <v>628.475341796875</v>
      </c>
      <c r="E131">
        <v>6339.39013671875</v>
      </c>
      <c r="F131" s="6">
        <f>IFERROR((General[[#This Row],[Fund_Price]]-D130)/D130,0)</f>
        <v>2.6055913547335212E-2</v>
      </c>
      <c r="G131" s="6">
        <f>IFERROR((General[[#This Row],[Benchmark_Price]]-E130)/E130,0)</f>
        <v>2.1666562530640778E-2</v>
      </c>
      <c r="H131" s="6">
        <f>General[[#This Row],[Fund_Return]]-General[[#This Row],[Bench_Return]]</f>
        <v>4.3893510166944337E-3</v>
      </c>
      <c r="I131">
        <f>I130*(1+General[[#This Row],[Fund_Return]])</f>
        <v>3794.5946702899314</v>
      </c>
      <c r="J131">
        <f>J130*(1+General[[#This Row],[Bench_Return]])</f>
        <v>3177.655109925634</v>
      </c>
      <c r="K131" s="6">
        <f>(General[[#This Row],[Fund_Price]]-D119)/D119</f>
        <v>0.16183927551897745</v>
      </c>
      <c r="L131" s="6">
        <f>(General[[#This Row],[Benchmark_Price]]-E119)/E119</f>
        <v>0.14796196529164865</v>
      </c>
      <c r="M131">
        <f>MAX(M130,General[[#This Row],[Fund_Price]])</f>
        <v>628.475341796875</v>
      </c>
      <c r="N131" s="9">
        <f>(General[[#This Row],[Fund_Price]]-General[[#This Row],[Highest Val]])/General[[#This Row],[Highest Val]]</f>
        <v>0</v>
      </c>
    </row>
    <row r="132" spans="3:14" x14ac:dyDescent="0.3">
      <c r="C132" s="3">
        <v>45870</v>
      </c>
      <c r="D132">
        <v>641.37139892578125</v>
      </c>
      <c r="E132">
        <v>6460.259765625</v>
      </c>
      <c r="F132" s="6">
        <f>IFERROR((General[[#This Row],[Fund_Price]]-D131)/D131,0)</f>
        <v>2.0519591257208453E-2</v>
      </c>
      <c r="G132" s="6">
        <f>IFERROR((General[[#This Row],[Benchmark_Price]]-E131)/E131,0)</f>
        <v>1.9066444295036206E-2</v>
      </c>
      <c r="H132" s="6">
        <f>General[[#This Row],[Fund_Return]]-General[[#This Row],[Bench_Return]]</f>
        <v>1.453146962172247E-3</v>
      </c>
      <c r="I132">
        <f>I131*(1+General[[#This Row],[Fund_Return]])</f>
        <v>3872.4582019110626</v>
      </c>
      <c r="J132">
        <f>J131*(1+General[[#This Row],[Bench_Return]])</f>
        <v>3238.2416940678681</v>
      </c>
      <c r="K132" s="6">
        <f>(General[[#This Row],[Fund_Price]]-D120)/D120</f>
        <v>0.15860796749441161</v>
      </c>
      <c r="L132" s="6">
        <f>(General[[#This Row],[Benchmark_Price]]-E120)/E120</f>
        <v>0.14373271675477092</v>
      </c>
      <c r="M132">
        <f>MAX(M131,General[[#This Row],[Fund_Price]])</f>
        <v>641.37139892578125</v>
      </c>
      <c r="N132" s="9">
        <f>(General[[#This Row],[Fund_Price]]-General[[#This Row],[Highest Val]])/General[[#This Row],[Highest Val]]</f>
        <v>0</v>
      </c>
    </row>
    <row r="133" spans="3:14" x14ac:dyDescent="0.3">
      <c r="C133" s="3">
        <v>45901</v>
      </c>
      <c r="D133">
        <v>662.380859375</v>
      </c>
      <c r="E133">
        <v>6688.4599609375</v>
      </c>
      <c r="F133" s="6">
        <f>IFERROR((General[[#This Row],[Fund_Price]]-D132)/D132,0)</f>
        <v>3.2757089705601199E-2</v>
      </c>
      <c r="G133" s="6">
        <f>IFERROR((General[[#This Row],[Benchmark_Price]]-E132)/E132,0)</f>
        <v>3.5323687218701598E-2</v>
      </c>
      <c r="H133" s="6">
        <f>General[[#This Row],[Fund_Return]]-General[[#This Row],[Bench_Return]]</f>
        <v>-2.5665975131003993E-3</v>
      </c>
      <c r="I133">
        <f>I132*(1+General[[#This Row],[Fund_Return]])</f>
        <v>3999.308662612254</v>
      </c>
      <c r="J133">
        <f>J132*(1+General[[#This Row],[Bench_Return]])</f>
        <v>3352.6283308076795</v>
      </c>
      <c r="K133" s="6">
        <f>(General[[#This Row],[Fund_Price]]-D121)/D121</f>
        <v>0.17553913662316167</v>
      </c>
      <c r="L133" s="6">
        <f>(General[[#This Row],[Benchmark_Price]]-E121)/E121</f>
        <v>0.16069122732005153</v>
      </c>
      <c r="M133">
        <f>MAX(M132,General[[#This Row],[Fund_Price]])</f>
        <v>662.380859375</v>
      </c>
      <c r="N133" s="9">
        <f>(General[[#This Row],[Fund_Price]]-General[[#This Row],[Highest Val]])/General[[#This Row],[Highest Val]]</f>
        <v>0</v>
      </c>
    </row>
    <row r="134" spans="3:14" x14ac:dyDescent="0.3">
      <c r="C134" s="3">
        <v>45931</v>
      </c>
      <c r="D134">
        <v>680.050537109375</v>
      </c>
      <c r="E134">
        <v>6840.2001953125</v>
      </c>
      <c r="F134" s="6">
        <f>IFERROR((General[[#This Row],[Fund_Price]]-D133)/D133,0)</f>
        <v>2.6676008952081595E-2</v>
      </c>
      <c r="G134" s="6">
        <f>IFERROR((General[[#This Row],[Benchmark_Price]]-E133)/E133,0)</f>
        <v>2.2686871904923696E-2</v>
      </c>
      <c r="H134" s="6">
        <f>General[[#This Row],[Fund_Return]]-General[[#This Row],[Bench_Return]]</f>
        <v>3.9891370471578994E-3</v>
      </c>
      <c r="I134">
        <f>I133*(1+General[[#This Row],[Fund_Return]])</f>
        <v>4105.994256298236</v>
      </c>
      <c r="J134">
        <f>J133*(1+General[[#This Row],[Bench_Return]])</f>
        <v>3428.688980293532</v>
      </c>
      <c r="K134" s="6">
        <f>(General[[#This Row],[Fund_Price]]-D122)/D122</f>
        <v>0.21404066041853761</v>
      </c>
      <c r="L134" s="6">
        <f>(General[[#This Row],[Benchmark_Price]]-E122)/E122</f>
        <v>0.19888877497034171</v>
      </c>
      <c r="M134">
        <f>MAX(M133,General[[#This Row],[Fund_Price]])</f>
        <v>680.050537109375</v>
      </c>
      <c r="N134" s="9">
        <f>(General[[#This Row],[Fund_Price]]-General[[#This Row],[Highest Val]])/General[[#This Row],[Highest Val]]</f>
        <v>0</v>
      </c>
    </row>
    <row r="135" spans="3:14" x14ac:dyDescent="0.3">
      <c r="C135" s="3">
        <v>45962</v>
      </c>
      <c r="D135">
        <v>681.3765869140625</v>
      </c>
      <c r="E135">
        <v>6849.08984375</v>
      </c>
      <c r="F135" s="6">
        <f>IFERROR((General[[#This Row],[Fund_Price]]-D134)/D134,0)</f>
        <v>1.9499283249212794E-3</v>
      </c>
      <c r="G135" s="6">
        <f>IFERROR((General[[#This Row],[Benchmark_Price]]-E134)/E134,0)</f>
        <v>1.2996181666717825E-3</v>
      </c>
      <c r="H135" s="6">
        <f>General[[#This Row],[Fund_Return]]-General[[#This Row],[Bench_Return]]</f>
        <v>6.5031015824949692E-4</v>
      </c>
      <c r="I135">
        <f>I134*(1+General[[#This Row],[Fund_Return]])</f>
        <v>4114.0006508005563</v>
      </c>
      <c r="J135">
        <f>J134*(1+General[[#This Row],[Bench_Return]])</f>
        <v>3433.144966780189</v>
      </c>
      <c r="K135" s="6">
        <f>(General[[#This Row],[Fund_Price]]-D123)/D123</f>
        <v>0.1479516834374239</v>
      </c>
      <c r="L135" s="6">
        <f>(General[[#This Row],[Benchmark_Price]]-E123)/E123</f>
        <v>0.13538768724835712</v>
      </c>
      <c r="M135">
        <f>MAX(M134,General[[#This Row],[Fund_Price]])</f>
        <v>681.3765869140625</v>
      </c>
      <c r="N135" s="9">
        <f>(General[[#This Row],[Fund_Price]]-General[[#This Row],[Highest Val]])/General[[#This Row],[Highest Val]]</f>
        <v>0</v>
      </c>
    </row>
    <row r="136" spans="3:14" x14ac:dyDescent="0.3">
      <c r="C136" s="3">
        <v>45992</v>
      </c>
      <c r="D136">
        <v>679.910888671875</v>
      </c>
      <c r="E136">
        <v>6845.5</v>
      </c>
      <c r="F136" s="6">
        <f>IFERROR((General[[#This Row],[Fund_Price]]-D135)/D135,0)</f>
        <v>-2.1510839531860208E-3</v>
      </c>
      <c r="G136" s="6">
        <f>IFERROR((General[[#This Row],[Benchmark_Price]]-E135)/E135,0)</f>
        <v>-5.2413442251394028E-4</v>
      </c>
      <c r="H136" s="6">
        <f>General[[#This Row],[Fund_Return]]-General[[#This Row],[Bench_Return]]</f>
        <v>-1.6269495306720804E-3</v>
      </c>
      <c r="I136">
        <f>I135*(1+General[[#This Row],[Fund_Return]])</f>
        <v>4105.1510900172225</v>
      </c>
      <c r="J136">
        <f>J135*(1+General[[#This Row],[Bench_Return]])</f>
        <v>3431.3455373256188</v>
      </c>
      <c r="K136" s="6">
        <f>(General[[#This Row],[Fund_Price]]-D124)/D124</f>
        <v>0.17767279889248863</v>
      </c>
      <c r="L136" s="6">
        <f>(General[[#This Row],[Benchmark_Price]]-E124)/E124</f>
        <v>0.16387806380067441</v>
      </c>
      <c r="M136">
        <f>MAX(M135,General[[#This Row],[Fund_Price]])</f>
        <v>681.3765869140625</v>
      </c>
      <c r="N136" s="9">
        <f>(General[[#This Row],[Fund_Price]]-General[[#This Row],[Highest Val]])/General[[#This Row],[Highest Val]]</f>
        <v>-2.1510839531860208E-3</v>
      </c>
    </row>
    <row r="137" spans="3:14" x14ac:dyDescent="0.3">
      <c r="C137" s="3">
        <v>46023</v>
      </c>
      <c r="D137">
        <v>691.969970703125</v>
      </c>
      <c r="E137">
        <v>6939.02978515625</v>
      </c>
      <c r="F137" s="6">
        <f>IFERROR((General[[#This Row],[Fund_Price]]-D136)/D136,0)</f>
        <v>1.7736268431891099E-2</v>
      </c>
      <c r="G137" s="6">
        <f>IFERROR((General[[#This Row],[Benchmark_Price]]-E136)/E136,0)</f>
        <v>1.3662958900920313E-2</v>
      </c>
      <c r="H137" s="6">
        <f>General[[#This Row],[Fund_Return]]-General[[#This Row],[Bench_Return]]</f>
        <v>4.0733095309707854E-3</v>
      </c>
      <c r="I137">
        <f>I136*(1+General[[#This Row],[Fund_Return]])</f>
        <v>4177.9611517032381</v>
      </c>
      <c r="J137">
        <f>J136*(1+General[[#This Row],[Bench_Return]])</f>
        <v>3478.2278703769548</v>
      </c>
      <c r="K137" s="6">
        <f>(General[[#This Row],[Fund_Price]]-D125)/D125</f>
        <v>0.16329788958740263</v>
      </c>
      <c r="L137" s="6">
        <f>(General[[#This Row],[Benchmark_Price]]-E125)/E125</f>
        <v>0.14874523128880798</v>
      </c>
      <c r="M137">
        <f>MAX(M136,General[[#This Row],[Fund_Price]])</f>
        <v>691.969970703125</v>
      </c>
      <c r="N137" s="9">
        <f>(General[[#This Row],[Fund_Price]]-General[[#This Row],[Highest Val]])/General[[#This Row],[Highest Val]]</f>
        <v>0</v>
      </c>
    </row>
    <row r="138" spans="3:14" x14ac:dyDescent="0.3">
      <c r="C138" s="3">
        <v>46054</v>
      </c>
      <c r="D138">
        <v>689.42999267578125</v>
      </c>
      <c r="E138">
        <v>6909.509765625</v>
      </c>
      <c r="F138" s="6">
        <f>IFERROR((General[[#This Row],[Fund_Price]]-D137)/D137,0)</f>
        <v>-3.6706477663515165E-3</v>
      </c>
      <c r="G138" s="6">
        <f>IFERROR((General[[#This Row],[Benchmark_Price]]-E137)/E137,0)</f>
        <v>-4.2541998586601085E-3</v>
      </c>
      <c r="H138" s="6">
        <f>General[[#This Row],[Fund_Return]]-General[[#This Row],[Bench_Return]]</f>
        <v>5.8355209230859196E-4</v>
      </c>
      <c r="I138">
        <f>I137*(1+General[[#This Row],[Fund_Return]])</f>
        <v>4162.6253279338353</v>
      </c>
      <c r="J138">
        <f>J137*(1+General[[#This Row],[Bench_Return]])</f>
        <v>3463.4307938624092</v>
      </c>
      <c r="K138" s="6">
        <f>(General[[#This Row],[Fund_Price]]-D126)/D126</f>
        <v>0.17393057115051966</v>
      </c>
      <c r="L138" s="6">
        <f>(General[[#This Row],[Benchmark_Price]]-E126)/E126</f>
        <v>0.16038454372743302</v>
      </c>
      <c r="M138">
        <f>MAX(M137,General[[#This Row],[Fund_Price]])</f>
        <v>691.969970703125</v>
      </c>
      <c r="N138" s="9">
        <f>(General[[#This Row],[Fund_Price]]-General[[#This Row],[Highest Val]])/General[[#This Row],[Highest Val]]</f>
        <v>-3.6706477663515165E-3</v>
      </c>
    </row>
  </sheetData>
  <phoneticPr fontId="4" type="noConversion"/>
  <conditionalFormatting sqref="H5:H138">
    <cfRule type="cellIs" dxfId="4" priority="1" operator="lessThan">
      <formula>0</formula>
    </cfRule>
    <cfRule type="cellIs" dxfId="3" priority="2" operator="greaterThan">
      <formula>0</formula>
    </cfRule>
    <cfRule type="cellIs" dxfId="2" priority="3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21DE-DBEC-4900-9EAC-DE60D4D4C509}">
  <dimension ref="C5:I12"/>
  <sheetViews>
    <sheetView workbookViewId="0">
      <selection activeCell="I8" sqref="I8"/>
    </sheetView>
  </sheetViews>
  <sheetFormatPr defaultRowHeight="14.4" x14ac:dyDescent="0.3"/>
  <cols>
    <col min="5" max="5" width="12.33203125" customWidth="1"/>
  </cols>
  <sheetData>
    <row r="5" spans="3:9" x14ac:dyDescent="0.3">
      <c r="C5" t="s">
        <v>10</v>
      </c>
      <c r="D5" t="s">
        <v>11</v>
      </c>
      <c r="E5" t="s">
        <v>12</v>
      </c>
      <c r="H5" t="s">
        <v>30</v>
      </c>
      <c r="I5" s="8">
        <f>_xlfn.STDEV.S(General[Fund_Return])</f>
        <v>4.3609918477403642E-2</v>
      </c>
    </row>
    <row r="6" spans="3:9" x14ac:dyDescent="0.3">
      <c r="C6" t="s">
        <v>13</v>
      </c>
      <c r="D6" s="8">
        <f>(Returns!D138-Returns!D137)/Returns!D137</f>
        <v>-3.6706477663515165E-3</v>
      </c>
      <c r="E6" s="8">
        <f>(Returns!E138-Returns!E137)/Returns!E137</f>
        <v>-4.2541998586601085E-3</v>
      </c>
      <c r="H6" t="s">
        <v>31</v>
      </c>
      <c r="I6" s="8">
        <f>I5*SQRT(12)</f>
        <v>0.15106918903359975</v>
      </c>
    </row>
    <row r="7" spans="3:9" x14ac:dyDescent="0.3">
      <c r="C7" t="s">
        <v>14</v>
      </c>
      <c r="D7" s="8">
        <f>(Returns!D138/Returns!D126)-1</f>
        <v>0.17393057115051969</v>
      </c>
      <c r="E7" s="8">
        <f>(Returns!E138/Returns!E126)-1</f>
        <v>0.16038454372743294</v>
      </c>
    </row>
    <row r="8" spans="3:9" x14ac:dyDescent="0.3">
      <c r="C8" t="s">
        <v>15</v>
      </c>
      <c r="D8" s="8">
        <f>(Returns!D138/Returns!D114)-1</f>
        <v>0.39047679776334498</v>
      </c>
      <c r="E8" s="8">
        <f>(Returns!E138/Returns!E114)-1</f>
        <v>0.35579742422292804</v>
      </c>
      <c r="H8" t="s">
        <v>35</v>
      </c>
      <c r="I8" s="6">
        <f>Returns!O5</f>
        <v>-0.23972222182459244</v>
      </c>
    </row>
    <row r="9" spans="3:9" x14ac:dyDescent="0.3">
      <c r="C9" t="s">
        <v>16</v>
      </c>
      <c r="D9" s="8">
        <f>(Returns!D138/Returns!D102)-1</f>
        <v>0.80994985056116175</v>
      </c>
      <c r="E9" s="8">
        <f>(Returns!E138/Returns!E102)-1</f>
        <v>0.74036495739015296</v>
      </c>
    </row>
    <row r="10" spans="3:9" x14ac:dyDescent="0.3">
      <c r="C10" t="s">
        <v>17</v>
      </c>
      <c r="D10" s="8">
        <f>(Returns!D138/Returns!D90)-1</f>
        <v>0.66925405292773954</v>
      </c>
      <c r="E10" s="8">
        <f>(Returns!E138/Returns!E90)-1</f>
        <v>0.57969927758165518</v>
      </c>
      <c r="H10" t="s">
        <v>36</v>
      </c>
      <c r="I10" s="6">
        <f>D7-E7</f>
        <v>1.3546027423086748E-2</v>
      </c>
    </row>
    <row r="11" spans="3:9" x14ac:dyDescent="0.3">
      <c r="C11" t="s">
        <v>18</v>
      </c>
      <c r="D11" s="8">
        <f>(Returns!D138/Returns!D78)-1</f>
        <v>0.94174400625862154</v>
      </c>
      <c r="E11" s="8">
        <f>(Returns!E138/Returns!E78)-1</f>
        <v>0.81297244733822871</v>
      </c>
    </row>
    <row r="12" spans="3:9" x14ac:dyDescent="0.3">
      <c r="C12" t="s">
        <v>19</v>
      </c>
      <c r="D12" s="8">
        <f>(Returns!D138/Returns!D5)^(1/10)-1</f>
        <v>0.15328523568268881</v>
      </c>
      <c r="E12" s="8">
        <f>(Returns!E138/Returns!E5)^(1/10)-1</f>
        <v>0.13227169662894922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FED1-E869-4A96-8219-D0310621A196}">
  <dimension ref="A1:R157"/>
  <sheetViews>
    <sheetView topLeftCell="A10" workbookViewId="0">
      <selection activeCell="M27" sqref="M27"/>
    </sheetView>
  </sheetViews>
  <sheetFormatPr defaultRowHeight="14.4" x14ac:dyDescent="0.3"/>
  <cols>
    <col min="1" max="1" width="12.44140625" bestFit="1" customWidth="1"/>
    <col min="2" max="3" width="12" bestFit="1" customWidth="1"/>
    <col min="5" max="5" width="12.44140625" bestFit="1" customWidth="1"/>
    <col min="6" max="7" width="12.6640625" bestFit="1" customWidth="1"/>
    <col min="14" max="14" width="12.44140625" bestFit="1" customWidth="1"/>
    <col min="15" max="15" width="15.5546875" bestFit="1" customWidth="1"/>
    <col min="16" max="16" width="7.44140625" bestFit="1" customWidth="1"/>
    <col min="17" max="17" width="12.44140625" bestFit="1" customWidth="1"/>
    <col min="18" max="18" width="18.6640625" bestFit="1" customWidth="1"/>
  </cols>
  <sheetData>
    <row r="1" spans="1:16" x14ac:dyDescent="0.3">
      <c r="N1" s="4" t="s">
        <v>24</v>
      </c>
      <c r="O1" t="s">
        <v>25</v>
      </c>
    </row>
    <row r="3" spans="1:16" x14ac:dyDescent="0.3">
      <c r="A3" s="4" t="s">
        <v>20</v>
      </c>
      <c r="B3" t="s">
        <v>22</v>
      </c>
      <c r="C3" t="s">
        <v>23</v>
      </c>
      <c r="N3" s="4" t="s">
        <v>20</v>
      </c>
      <c r="O3" t="s">
        <v>22</v>
      </c>
      <c r="P3" t="s">
        <v>26</v>
      </c>
    </row>
    <row r="4" spans="1:16" x14ac:dyDescent="0.3">
      <c r="A4" s="10" t="s">
        <v>37</v>
      </c>
      <c r="B4">
        <v>12432.874124634576</v>
      </c>
      <c r="C4">
        <v>12342.493017481902</v>
      </c>
      <c r="N4" s="7">
        <v>45658</v>
      </c>
      <c r="O4" s="6">
        <v>3.0312468119138878E-2</v>
      </c>
      <c r="P4" s="6">
        <v>2.7016304240444086E-2</v>
      </c>
    </row>
    <row r="5" spans="1:16" x14ac:dyDescent="0.3">
      <c r="A5" s="10" t="s">
        <v>38</v>
      </c>
      <c r="B5">
        <v>13027.814537321725</v>
      </c>
      <c r="C5">
        <v>12666.695221269003</v>
      </c>
      <c r="N5" s="7">
        <v>45689</v>
      </c>
      <c r="O5" s="6">
        <v>-1.2694735727451863E-2</v>
      </c>
      <c r="P5" s="6">
        <v>-1.4242092699825116E-2</v>
      </c>
    </row>
    <row r="6" spans="1:16" x14ac:dyDescent="0.3">
      <c r="A6" s="10" t="s">
        <v>39</v>
      </c>
      <c r="B6">
        <v>15560.41067136011</v>
      </c>
      <c r="C6">
        <v>14828.345150247589</v>
      </c>
      <c r="N6" s="7">
        <v>45717</v>
      </c>
      <c r="O6" s="6">
        <v>-5.8551336035182519E-2</v>
      </c>
      <c r="P6" s="6">
        <v>-5.7544697681375427E-2</v>
      </c>
    </row>
    <row r="7" spans="1:16" x14ac:dyDescent="0.3">
      <c r="A7" s="10" t="s">
        <v>40</v>
      </c>
      <c r="B7">
        <v>17600.764358978067</v>
      </c>
      <c r="C7">
        <v>16471.636774689134</v>
      </c>
      <c r="N7" s="7">
        <v>45748</v>
      </c>
      <c r="O7" s="6">
        <v>-5.6880327218085487E-3</v>
      </c>
      <c r="P7" s="6">
        <v>-7.6249433462898374E-3</v>
      </c>
    </row>
    <row r="8" spans="1:16" x14ac:dyDescent="0.3">
      <c r="A8" s="10" t="s">
        <v>41</v>
      </c>
      <c r="B8">
        <v>19247.488742735186</v>
      </c>
      <c r="C8">
        <v>17672.038562419362</v>
      </c>
      <c r="N8" s="7">
        <v>45778</v>
      </c>
      <c r="O8" s="6">
        <v>6.2845017875814549E-2</v>
      </c>
      <c r="P8" s="6">
        <v>6.1523826140782882E-2</v>
      </c>
    </row>
    <row r="9" spans="1:16" x14ac:dyDescent="0.3">
      <c r="A9" s="10" t="s">
        <v>42</v>
      </c>
      <c r="B9">
        <v>21484.276588758585</v>
      </c>
      <c r="C9">
        <v>19350.197436718616</v>
      </c>
      <c r="N9" s="7">
        <v>45809</v>
      </c>
      <c r="O9" s="6">
        <v>4.8287008852633956E-2</v>
      </c>
      <c r="P9" s="6">
        <v>4.960683946771579E-2</v>
      </c>
    </row>
    <row r="10" spans="1:16" x14ac:dyDescent="0.3">
      <c r="A10" s="10" t="s">
        <v>43</v>
      </c>
      <c r="B10">
        <v>29012.113881988462</v>
      </c>
      <c r="C10">
        <v>25737.021168383337</v>
      </c>
      <c r="N10" s="7">
        <v>45839</v>
      </c>
      <c r="O10" s="6">
        <v>2.6055913547335212E-2</v>
      </c>
      <c r="P10" s="6">
        <v>2.1666562530640778E-2</v>
      </c>
    </row>
    <row r="11" spans="1:16" x14ac:dyDescent="0.3">
      <c r="A11" s="10" t="s">
        <v>44</v>
      </c>
      <c r="B11">
        <v>28025.379563020273</v>
      </c>
      <c r="C11">
        <v>24527.371238425731</v>
      </c>
      <c r="N11" s="7">
        <v>45870</v>
      </c>
      <c r="O11" s="6">
        <v>2.0519591257208453E-2</v>
      </c>
      <c r="P11" s="6">
        <v>1.9066444295036206E-2</v>
      </c>
    </row>
    <row r="12" spans="1:16" x14ac:dyDescent="0.3">
      <c r="A12" s="10" t="s">
        <v>45</v>
      </c>
      <c r="B12">
        <v>30207.331382405813</v>
      </c>
      <c r="C12">
        <v>26001.057580885896</v>
      </c>
      <c r="N12" s="7">
        <v>45901</v>
      </c>
      <c r="O12" s="6">
        <v>3.2757089705601199E-2</v>
      </c>
      <c r="P12" s="6">
        <v>3.5323687218701598E-2</v>
      </c>
    </row>
    <row r="13" spans="1:16" x14ac:dyDescent="0.3">
      <c r="A13" s="10" t="s">
        <v>46</v>
      </c>
      <c r="B13">
        <v>38683.459421332991</v>
      </c>
      <c r="C13">
        <v>32843.567975882943</v>
      </c>
      <c r="N13" s="7">
        <v>45931</v>
      </c>
      <c r="O13" s="6">
        <v>2.6676008952081595E-2</v>
      </c>
      <c r="P13" s="6">
        <v>2.2686871904923696E-2</v>
      </c>
    </row>
    <row r="14" spans="1:16" x14ac:dyDescent="0.3">
      <c r="A14" s="10" t="s">
        <v>47</v>
      </c>
      <c r="B14">
        <v>45012.544678047292</v>
      </c>
      <c r="C14">
        <v>37752.309710396381</v>
      </c>
      <c r="N14" s="7">
        <v>45962</v>
      </c>
      <c r="O14" s="6">
        <v>1.9499283249212794E-3</v>
      </c>
      <c r="P14" s="6">
        <v>1.2996181666717825E-3</v>
      </c>
    </row>
    <row r="15" spans="1:16" x14ac:dyDescent="0.3">
      <c r="A15" s="10" t="s">
        <v>48</v>
      </c>
      <c r="B15">
        <v>8340.5864796370734</v>
      </c>
      <c r="C15">
        <v>6941.658664239364</v>
      </c>
      <c r="N15" s="7">
        <v>45992</v>
      </c>
      <c r="O15" s="6">
        <v>-2.1510839531860208E-3</v>
      </c>
      <c r="P15" s="6">
        <v>-5.2413442251394028E-4</v>
      </c>
    </row>
    <row r="16" spans="1:16" x14ac:dyDescent="0.3">
      <c r="A16" s="10" t="s">
        <v>21</v>
      </c>
      <c r="B16">
        <v>278635.04443022015</v>
      </c>
      <c r="C16">
        <v>247134.39250103923</v>
      </c>
      <c r="N16" s="7">
        <v>46023</v>
      </c>
      <c r="O16" s="6">
        <v>1.7736268431891099E-2</v>
      </c>
      <c r="P16" s="6">
        <v>1.3662958900920313E-2</v>
      </c>
    </row>
    <row r="17" spans="5:18" x14ac:dyDescent="0.3">
      <c r="N17" s="7">
        <v>46054</v>
      </c>
      <c r="O17" s="6">
        <v>-3.6706477663515165E-3</v>
      </c>
      <c r="P17" s="6">
        <v>-4.2541998586601085E-3</v>
      </c>
    </row>
    <row r="22" spans="5:18" x14ac:dyDescent="0.3">
      <c r="E22" s="4" t="s">
        <v>20</v>
      </c>
      <c r="F22" t="s">
        <v>22</v>
      </c>
      <c r="G22" t="s">
        <v>26</v>
      </c>
      <c r="Q22" s="4" t="s">
        <v>20</v>
      </c>
      <c r="R22" t="s">
        <v>27</v>
      </c>
    </row>
    <row r="23" spans="5:18" x14ac:dyDescent="0.3">
      <c r="E23" s="5">
        <v>42005</v>
      </c>
      <c r="F23" s="6"/>
      <c r="G23" s="6"/>
      <c r="Q23" s="10" t="s">
        <v>37</v>
      </c>
      <c r="R23" s="6">
        <v>1.3411766672219848E-2</v>
      </c>
    </row>
    <row r="24" spans="5:18" x14ac:dyDescent="0.3">
      <c r="E24" s="5">
        <v>42036</v>
      </c>
      <c r="F24" s="6"/>
      <c r="G24" s="6"/>
      <c r="Q24" s="10" t="s">
        <v>38</v>
      </c>
      <c r="R24" s="6">
        <v>2.1928220420036691E-2</v>
      </c>
    </row>
    <row r="25" spans="5:18" x14ac:dyDescent="0.3">
      <c r="E25" s="5">
        <v>42064</v>
      </c>
      <c r="F25" s="6"/>
      <c r="G25" s="6"/>
      <c r="Q25" s="10" t="s">
        <v>39</v>
      </c>
      <c r="R25" s="6">
        <v>2.0298034571515054E-2</v>
      </c>
    </row>
    <row r="26" spans="5:18" x14ac:dyDescent="0.3">
      <c r="E26" s="5">
        <v>42095</v>
      </c>
      <c r="F26" s="6"/>
      <c r="G26" s="6"/>
      <c r="Q26" s="10" t="s">
        <v>40</v>
      </c>
      <c r="R26" s="6">
        <v>1.74428048769193E-2</v>
      </c>
    </row>
    <row r="27" spans="5:18" x14ac:dyDescent="0.3">
      <c r="E27" s="5">
        <v>42125</v>
      </c>
      <c r="F27" s="6"/>
      <c r="G27" s="6"/>
      <c r="Q27" s="10" t="s">
        <v>41</v>
      </c>
      <c r="R27" s="6">
        <v>1.9538953945333722E-2</v>
      </c>
    </row>
    <row r="28" spans="5:18" x14ac:dyDescent="0.3">
      <c r="E28" s="5">
        <v>42156</v>
      </c>
      <c r="F28" s="6"/>
      <c r="G28" s="6"/>
      <c r="Q28" s="10" t="s">
        <v>42</v>
      </c>
      <c r="R28" s="6">
        <v>1.9753235377372912E-2</v>
      </c>
    </row>
    <row r="29" spans="5:18" x14ac:dyDescent="0.3">
      <c r="E29" s="5">
        <v>42186</v>
      </c>
      <c r="F29" s="6"/>
      <c r="G29" s="6"/>
      <c r="Q29" s="10" t="s">
        <v>43</v>
      </c>
      <c r="R29" s="6">
        <v>1.574372040806107E-2</v>
      </c>
    </row>
    <row r="30" spans="5:18" x14ac:dyDescent="0.3">
      <c r="E30" s="5">
        <v>42217</v>
      </c>
      <c r="F30" s="6"/>
      <c r="G30" s="6"/>
      <c r="Q30" s="10" t="s">
        <v>44</v>
      </c>
      <c r="R30" s="6">
        <v>1.5649582064614392E-2</v>
      </c>
    </row>
    <row r="31" spans="5:18" x14ac:dyDescent="0.3">
      <c r="E31" s="5">
        <v>42248</v>
      </c>
      <c r="F31" s="6"/>
      <c r="G31" s="6"/>
      <c r="Q31" s="10" t="s">
        <v>45</v>
      </c>
      <c r="R31" s="6">
        <v>1.6465470387790303E-2</v>
      </c>
    </row>
    <row r="32" spans="5:18" x14ac:dyDescent="0.3">
      <c r="E32" s="5">
        <v>42278</v>
      </c>
      <c r="F32" s="6"/>
      <c r="G32" s="6"/>
      <c r="Q32" s="10" t="s">
        <v>46</v>
      </c>
      <c r="R32" s="6">
        <v>1.3488256618518504E-2</v>
      </c>
    </row>
    <row r="33" spans="5:18" x14ac:dyDescent="0.3">
      <c r="E33" s="5">
        <v>42309</v>
      </c>
      <c r="F33" s="6"/>
      <c r="G33" s="6"/>
      <c r="Q33" s="10" t="s">
        <v>47</v>
      </c>
      <c r="R33" s="6">
        <v>1.2063552382193671E-2</v>
      </c>
    </row>
    <row r="34" spans="5:18" x14ac:dyDescent="0.3">
      <c r="E34" s="5">
        <v>42339</v>
      </c>
      <c r="F34" s="6"/>
      <c r="G34" s="6"/>
      <c r="Q34" s="10" t="s">
        <v>48</v>
      </c>
      <c r="R34" s="6">
        <v>4.6568616232793777E-3</v>
      </c>
    </row>
    <row r="35" spans="5:18" x14ac:dyDescent="0.3">
      <c r="E35" s="5">
        <v>42370</v>
      </c>
      <c r="F35" s="6">
        <v>-8.6864921297719177E-3</v>
      </c>
      <c r="G35" s="6">
        <v>-2.7443746719535107E-2</v>
      </c>
      <c r="Q35" s="10" t="s">
        <v>21</v>
      </c>
      <c r="R35" s="6">
        <v>0.19044045934785489</v>
      </c>
    </row>
    <row r="36" spans="5:18" x14ac:dyDescent="0.3">
      <c r="E36" s="5">
        <v>42401</v>
      </c>
      <c r="F36" s="6">
        <v>-6.2212860667064294E-2</v>
      </c>
      <c r="G36" s="6">
        <v>-8.1857932777975762E-2</v>
      </c>
    </row>
    <row r="37" spans="5:18" x14ac:dyDescent="0.3">
      <c r="E37" s="5">
        <v>42430</v>
      </c>
      <c r="F37" s="6">
        <v>1.6136470675783249E-2</v>
      </c>
      <c r="G37" s="6">
        <v>-3.9411684214913281E-3</v>
      </c>
    </row>
    <row r="38" spans="5:18" x14ac:dyDescent="0.3">
      <c r="E38" s="5">
        <v>42461</v>
      </c>
      <c r="F38" s="6">
        <v>1.0904762807389834E-2</v>
      </c>
      <c r="G38" s="6">
        <v>-9.6906564067612642E-3</v>
      </c>
    </row>
    <row r="39" spans="5:18" x14ac:dyDescent="0.3">
      <c r="E39" s="5">
        <v>42491</v>
      </c>
      <c r="F39" s="6">
        <v>1.5051987567274883E-2</v>
      </c>
      <c r="G39" s="6">
        <v>-4.9539676749033148E-3</v>
      </c>
    </row>
    <row r="40" spans="5:18" x14ac:dyDescent="0.3">
      <c r="E40" s="5">
        <v>42522</v>
      </c>
      <c r="F40" s="6">
        <v>3.9351002872841628E-2</v>
      </c>
      <c r="G40" s="6">
        <v>1.7328207482185373E-2</v>
      </c>
    </row>
    <row r="41" spans="5:18" x14ac:dyDescent="0.3">
      <c r="E41" s="5">
        <v>42552</v>
      </c>
      <c r="F41" s="6">
        <v>5.3813260511181307E-2</v>
      </c>
      <c r="G41" s="6">
        <v>3.3158418345174009E-2</v>
      </c>
    </row>
    <row r="42" spans="5:18" x14ac:dyDescent="0.3">
      <c r="E42" s="5">
        <v>42583</v>
      </c>
      <c r="F42" s="6">
        <v>0.12355594187490197</v>
      </c>
      <c r="G42" s="6">
        <v>0.10078689168715764</v>
      </c>
    </row>
    <row r="43" spans="5:18" x14ac:dyDescent="0.3">
      <c r="E43" s="5">
        <v>42614</v>
      </c>
      <c r="F43" s="6">
        <v>0.15321087068271239</v>
      </c>
      <c r="G43" s="6">
        <v>0.1292896394569838</v>
      </c>
    </row>
    <row r="44" spans="5:18" x14ac:dyDescent="0.3">
      <c r="E44" s="5">
        <v>42644</v>
      </c>
      <c r="F44" s="6">
        <v>4.42298849933975E-2</v>
      </c>
      <c r="G44" s="6">
        <v>2.2502016247627262E-2</v>
      </c>
    </row>
    <row r="45" spans="5:18" x14ac:dyDescent="0.3">
      <c r="E45" s="5">
        <v>42675</v>
      </c>
      <c r="F45" s="6">
        <v>7.875416375255713E-2</v>
      </c>
      <c r="G45" s="6">
        <v>5.6911931535803151E-2</v>
      </c>
    </row>
    <row r="46" spans="5:18" x14ac:dyDescent="0.3">
      <c r="E46" s="5">
        <v>42705</v>
      </c>
      <c r="F46" s="6">
        <v>0.12004240628482886</v>
      </c>
      <c r="G46" s="6">
        <v>9.5350226672836449E-2</v>
      </c>
    </row>
    <row r="47" spans="5:18" x14ac:dyDescent="0.3">
      <c r="E47" s="5">
        <v>42736</v>
      </c>
      <c r="F47" s="6">
        <v>0.19975208265993075</v>
      </c>
      <c r="G47" s="6">
        <v>0.17453002136721216</v>
      </c>
    </row>
    <row r="48" spans="5:18" x14ac:dyDescent="0.3">
      <c r="E48" s="5">
        <v>42767</v>
      </c>
      <c r="F48" s="6">
        <v>0.24792315240695176</v>
      </c>
      <c r="G48" s="6">
        <v>0.2232704783954946</v>
      </c>
    </row>
    <row r="49" spans="5:7" x14ac:dyDescent="0.3">
      <c r="E49" s="5">
        <v>42795</v>
      </c>
      <c r="F49" s="6">
        <v>0.17167316706231436</v>
      </c>
      <c r="G49" s="6">
        <v>0.14709622666221786</v>
      </c>
    </row>
    <row r="50" spans="5:7" x14ac:dyDescent="0.3">
      <c r="E50" s="5">
        <v>42826</v>
      </c>
      <c r="F50" s="6">
        <v>0.17771175094463271</v>
      </c>
      <c r="G50" s="6">
        <v>0.15440850956484384</v>
      </c>
    </row>
    <row r="51" spans="5:7" x14ac:dyDescent="0.3">
      <c r="E51" s="5">
        <v>42856</v>
      </c>
      <c r="F51" s="6">
        <v>0.17435488379735437</v>
      </c>
      <c r="G51" s="6">
        <v>0.15014669161765012</v>
      </c>
    </row>
    <row r="52" spans="5:7" x14ac:dyDescent="0.3">
      <c r="E52" s="5">
        <v>42887</v>
      </c>
      <c r="F52" s="6">
        <v>0.17812708815626621</v>
      </c>
      <c r="G52" s="6">
        <v>0.15463146092483468</v>
      </c>
    </row>
    <row r="53" spans="5:7" x14ac:dyDescent="0.3">
      <c r="E53" s="5">
        <v>42917</v>
      </c>
      <c r="F53" s="6">
        <v>0.15966088833881426</v>
      </c>
      <c r="G53" s="6">
        <v>0.13650162764153384</v>
      </c>
    </row>
    <row r="54" spans="5:7" x14ac:dyDescent="0.3">
      <c r="E54" s="5">
        <v>42948</v>
      </c>
      <c r="F54" s="6">
        <v>0.16165370299344972</v>
      </c>
      <c r="G54" s="6">
        <v>0.13851077083078664</v>
      </c>
    </row>
    <row r="55" spans="5:7" x14ac:dyDescent="0.3">
      <c r="E55" s="5">
        <v>42979</v>
      </c>
      <c r="F55" s="6">
        <v>0.18509573363328163</v>
      </c>
      <c r="G55" s="6">
        <v>0.16192175546776497</v>
      </c>
    </row>
    <row r="56" spans="5:7" x14ac:dyDescent="0.3">
      <c r="E56" s="5">
        <v>43009</v>
      </c>
      <c r="F56" s="6">
        <v>0.23431410460232968</v>
      </c>
      <c r="G56" s="6">
        <v>0.2112316290242757</v>
      </c>
    </row>
    <row r="57" spans="5:7" x14ac:dyDescent="0.3">
      <c r="E57" s="5">
        <v>43040</v>
      </c>
      <c r="F57" s="6">
        <v>0.22684715907079703</v>
      </c>
      <c r="G57" s="6">
        <v>0.20409676487393416</v>
      </c>
    </row>
    <row r="58" spans="5:7" x14ac:dyDescent="0.3">
      <c r="E58" s="5">
        <v>43070</v>
      </c>
      <c r="F58" s="6">
        <v>0.21800152885624943</v>
      </c>
      <c r="G58" s="6">
        <v>0.19419965523287919</v>
      </c>
    </row>
    <row r="59" spans="5:7" x14ac:dyDescent="0.3">
      <c r="E59" s="5">
        <v>43101</v>
      </c>
      <c r="F59" s="6">
        <v>0.26304474158243724</v>
      </c>
      <c r="G59" s="6">
        <v>0.23912724876080055</v>
      </c>
    </row>
    <row r="60" spans="5:7" x14ac:dyDescent="0.3">
      <c r="E60" s="5">
        <v>43132</v>
      </c>
      <c r="F60" s="6">
        <v>0.17110478512118793</v>
      </c>
      <c r="G60" s="6">
        <v>0.14815716499221349</v>
      </c>
    </row>
    <row r="61" spans="5:7" x14ac:dyDescent="0.3">
      <c r="E61" s="5">
        <v>43160</v>
      </c>
      <c r="F61" s="6">
        <v>0.13797429523789087</v>
      </c>
      <c r="G61" s="6">
        <v>0.11772455048983224</v>
      </c>
    </row>
    <row r="62" spans="5:7" x14ac:dyDescent="0.3">
      <c r="E62" s="5">
        <v>43191</v>
      </c>
      <c r="F62" s="6">
        <v>0.13222333769695255</v>
      </c>
      <c r="G62" s="6">
        <v>0.11066609473193016</v>
      </c>
    </row>
    <row r="63" spans="5:7" x14ac:dyDescent="0.3">
      <c r="E63" s="5">
        <v>43221</v>
      </c>
      <c r="F63" s="6">
        <v>0.14360688881614014</v>
      </c>
      <c r="G63" s="6">
        <v>0.12168088761990024</v>
      </c>
    </row>
    <row r="64" spans="5:7" x14ac:dyDescent="0.3">
      <c r="E64" s="5">
        <v>43252</v>
      </c>
      <c r="F64" s="6">
        <v>0.1433370659068848</v>
      </c>
      <c r="G64" s="6">
        <v>0.12171288216832739</v>
      </c>
    </row>
    <row r="65" spans="5:7" x14ac:dyDescent="0.3">
      <c r="E65" s="5">
        <v>43282</v>
      </c>
      <c r="F65" s="6">
        <v>0.16136759090258981</v>
      </c>
      <c r="G65" s="6">
        <v>0.14005990502996091</v>
      </c>
    </row>
    <row r="66" spans="5:7" x14ac:dyDescent="0.3">
      <c r="E66" s="5">
        <v>43313</v>
      </c>
      <c r="F66" s="6">
        <v>0.19495115410881156</v>
      </c>
      <c r="G66" s="6">
        <v>0.17392030998398045</v>
      </c>
    </row>
    <row r="67" spans="5:7" x14ac:dyDescent="0.3">
      <c r="E67" s="5">
        <v>43344</v>
      </c>
      <c r="F67" s="6">
        <v>0.1788251944442705</v>
      </c>
      <c r="G67" s="6">
        <v>0.15663496134766519</v>
      </c>
    </row>
    <row r="68" spans="5:7" x14ac:dyDescent="0.3">
      <c r="E68" s="5">
        <v>43374</v>
      </c>
      <c r="F68" s="6">
        <v>7.1634903236531836E-2</v>
      </c>
      <c r="G68" s="6">
        <v>5.2996582850355009E-2</v>
      </c>
    </row>
    <row r="69" spans="5:7" x14ac:dyDescent="0.3">
      <c r="E69" s="5">
        <v>43405</v>
      </c>
      <c r="F69" s="6">
        <v>5.9139423943869902E-2</v>
      </c>
      <c r="G69" s="6">
        <v>4.2525566905509966E-2</v>
      </c>
    </row>
    <row r="70" spans="5:7" x14ac:dyDescent="0.3">
      <c r="E70" s="5">
        <v>43435</v>
      </c>
      <c r="F70" s="6">
        <v>-4.6380841934407023E-2</v>
      </c>
      <c r="G70" s="6">
        <v>-6.237259849620682E-2</v>
      </c>
    </row>
    <row r="71" spans="5:7" x14ac:dyDescent="0.3">
      <c r="E71" s="5">
        <v>43466</v>
      </c>
      <c r="F71" s="6">
        <v>-2.42741513985603E-2</v>
      </c>
      <c r="G71" s="6">
        <v>-4.2393064141543306E-2</v>
      </c>
    </row>
    <row r="72" spans="5:7" x14ac:dyDescent="0.3">
      <c r="E72" s="5">
        <v>43497</v>
      </c>
      <c r="F72" s="6">
        <v>4.5365480639157386E-2</v>
      </c>
      <c r="G72" s="6">
        <v>2.6036969918984139E-2</v>
      </c>
    </row>
    <row r="73" spans="5:7" x14ac:dyDescent="0.3">
      <c r="E73" s="5">
        <v>43525</v>
      </c>
      <c r="F73" s="6">
        <v>9.3846380360746176E-2</v>
      </c>
      <c r="G73" s="6">
        <v>7.3282583606329443E-2</v>
      </c>
    </row>
    <row r="74" spans="5:7" x14ac:dyDescent="0.3">
      <c r="E74" s="5">
        <v>43556</v>
      </c>
      <c r="F74" s="6">
        <v>0.13312935201503434</v>
      </c>
      <c r="G74" s="6">
        <v>0.11245256842054603</v>
      </c>
    </row>
    <row r="75" spans="5:7" x14ac:dyDescent="0.3">
      <c r="E75" s="5">
        <v>43586</v>
      </c>
      <c r="F75" s="6">
        <v>3.5691727584814585E-2</v>
      </c>
      <c r="G75" s="6">
        <v>1.729588496700505E-2</v>
      </c>
    </row>
    <row r="76" spans="5:7" x14ac:dyDescent="0.3">
      <c r="E76" s="5">
        <v>43617</v>
      </c>
      <c r="F76" s="6">
        <v>0.10101877686472932</v>
      </c>
      <c r="G76" s="6">
        <v>8.2177879739661897E-2</v>
      </c>
    </row>
    <row r="77" spans="5:7" x14ac:dyDescent="0.3">
      <c r="E77" s="5">
        <v>43647</v>
      </c>
      <c r="F77" s="6">
        <v>7.8138907668997365E-2</v>
      </c>
      <c r="G77" s="6">
        <v>5.8264540041700751E-2</v>
      </c>
    </row>
    <row r="78" spans="5:7" x14ac:dyDescent="0.3">
      <c r="E78" s="5">
        <v>43678</v>
      </c>
      <c r="F78" s="6">
        <v>2.7296574225430609E-2</v>
      </c>
      <c r="G78" s="6">
        <v>8.5954745231360246E-3</v>
      </c>
    </row>
    <row r="79" spans="5:7" x14ac:dyDescent="0.3">
      <c r="E79" s="5">
        <v>43709</v>
      </c>
      <c r="F79" s="6">
        <v>4.1001210843506351E-2</v>
      </c>
      <c r="G79" s="6">
        <v>2.1537556944893378E-2</v>
      </c>
    </row>
    <row r="80" spans="5:7" x14ac:dyDescent="0.3">
      <c r="E80" s="5">
        <v>43739</v>
      </c>
      <c r="F80" s="6">
        <v>0.14310181448606124</v>
      </c>
      <c r="G80" s="6">
        <v>0.12015166259771626</v>
      </c>
    </row>
    <row r="81" spans="5:7" x14ac:dyDescent="0.3">
      <c r="E81" s="5">
        <v>43770</v>
      </c>
      <c r="F81" s="6">
        <v>0.16290948673615466</v>
      </c>
      <c r="G81" s="6">
        <v>0.13796616490011726</v>
      </c>
    </row>
    <row r="82" spans="5:7" x14ac:dyDescent="0.3">
      <c r="E82" s="5">
        <v>43800</v>
      </c>
      <c r="F82" s="6">
        <v>0.31344434239592489</v>
      </c>
      <c r="G82" s="6">
        <v>0.28878070225158448</v>
      </c>
    </row>
    <row r="83" spans="5:7" x14ac:dyDescent="0.3">
      <c r="E83" s="5">
        <v>43831</v>
      </c>
      <c r="F83" s="6">
        <v>0.21447183599006581</v>
      </c>
      <c r="G83" s="6">
        <v>0.19282567325334413</v>
      </c>
    </row>
    <row r="84" spans="5:7" x14ac:dyDescent="0.3">
      <c r="E84" s="5">
        <v>43862</v>
      </c>
      <c r="F84" s="6">
        <v>8.321357214824758E-2</v>
      </c>
      <c r="G84" s="6">
        <v>6.0955500312092542E-2</v>
      </c>
    </row>
    <row r="85" spans="5:7" x14ac:dyDescent="0.3">
      <c r="E85" s="5">
        <v>43891</v>
      </c>
      <c r="F85" s="6">
        <v>-7.0268044021092171E-2</v>
      </c>
      <c r="G85" s="6">
        <v>-8.813499261221347E-2</v>
      </c>
    </row>
    <row r="86" spans="5:7" x14ac:dyDescent="0.3">
      <c r="E86" s="5">
        <v>43922</v>
      </c>
      <c r="F86" s="6">
        <v>8.1466212572602059E-3</v>
      </c>
      <c r="G86" s="6">
        <v>-1.1338110345330561E-2</v>
      </c>
    </row>
    <row r="87" spans="5:7" x14ac:dyDescent="0.3">
      <c r="E87" s="5">
        <v>43952</v>
      </c>
      <c r="F87" s="6">
        <v>0.12812216064703882</v>
      </c>
      <c r="G87" s="6">
        <v>0.10619317666683994</v>
      </c>
    </row>
    <row r="88" spans="5:7" x14ac:dyDescent="0.3">
      <c r="E88" s="5">
        <v>43983</v>
      </c>
      <c r="F88" s="6">
        <v>7.3926986008855292E-2</v>
      </c>
      <c r="G88" s="6">
        <v>5.3889518101616102E-2</v>
      </c>
    </row>
    <row r="89" spans="5:7" x14ac:dyDescent="0.3">
      <c r="E89" s="5">
        <v>44013</v>
      </c>
      <c r="F89" s="6">
        <v>0.11971945059847969</v>
      </c>
      <c r="G89" s="6">
        <v>9.7551401434315371E-2</v>
      </c>
    </row>
    <row r="90" spans="5:7" x14ac:dyDescent="0.3">
      <c r="E90" s="5">
        <v>44044</v>
      </c>
      <c r="F90" s="6">
        <v>0.21827006867945525</v>
      </c>
      <c r="G90" s="6">
        <v>0.19609019269561967</v>
      </c>
    </row>
    <row r="91" spans="5:7" x14ac:dyDescent="0.3">
      <c r="E91" s="5">
        <v>44075</v>
      </c>
      <c r="F91" s="6">
        <v>0.15097614998565198</v>
      </c>
      <c r="G91" s="6">
        <v>0.12975940493049667</v>
      </c>
    </row>
    <row r="92" spans="5:7" x14ac:dyDescent="0.3">
      <c r="E92" s="5">
        <v>44105</v>
      </c>
      <c r="F92" s="6">
        <v>9.7334980352281789E-2</v>
      </c>
      <c r="G92" s="6">
        <v>7.6508743155959333E-2</v>
      </c>
    </row>
    <row r="93" spans="5:7" x14ac:dyDescent="0.3">
      <c r="E93" s="5">
        <v>44136</v>
      </c>
      <c r="F93" s="6">
        <v>0.17419542855694775</v>
      </c>
      <c r="G93" s="6">
        <v>0.15302545872069498</v>
      </c>
    </row>
    <row r="94" spans="5:7" x14ac:dyDescent="0.3">
      <c r="E94" s="5">
        <v>44166</v>
      </c>
      <c r="F94" s="6">
        <v>0.18408633992680926</v>
      </c>
      <c r="G94" s="6">
        <v>0.16258923055706165</v>
      </c>
    </row>
    <row r="95" spans="5:7" x14ac:dyDescent="0.3">
      <c r="E95" s="5">
        <v>44197</v>
      </c>
      <c r="F95" s="6">
        <v>0.1717307495634901</v>
      </c>
      <c r="G95" s="6">
        <v>0.15151664467863027</v>
      </c>
    </row>
    <row r="96" spans="5:7" x14ac:dyDescent="0.3">
      <c r="E96" s="5">
        <v>44228</v>
      </c>
      <c r="F96" s="6">
        <v>0.30784827378130031</v>
      </c>
      <c r="G96" s="6">
        <v>0.29006977819484098</v>
      </c>
    </row>
    <row r="97" spans="5:7" x14ac:dyDescent="0.3">
      <c r="E97" s="5">
        <v>44256</v>
      </c>
      <c r="F97" s="6">
        <v>0.5663681248132566</v>
      </c>
      <c r="G97" s="6">
        <v>0.53714506265113027</v>
      </c>
    </row>
    <row r="98" spans="5:7" x14ac:dyDescent="0.3">
      <c r="E98" s="5">
        <v>44287</v>
      </c>
      <c r="F98" s="6">
        <v>0.45962574058427469</v>
      </c>
      <c r="G98" s="6">
        <v>0.43562936105373379</v>
      </c>
    </row>
    <row r="99" spans="5:7" x14ac:dyDescent="0.3">
      <c r="E99" s="5">
        <v>44317</v>
      </c>
      <c r="F99" s="6">
        <v>0.40239196960030776</v>
      </c>
      <c r="G99" s="6">
        <v>0.38097295688181093</v>
      </c>
    </row>
    <row r="100" spans="5:7" x14ac:dyDescent="0.3">
      <c r="E100" s="5">
        <v>44348</v>
      </c>
      <c r="F100" s="6">
        <v>0.41044460022463697</v>
      </c>
      <c r="G100" s="6">
        <v>0.3861606320225206</v>
      </c>
    </row>
    <row r="101" spans="5:7" x14ac:dyDescent="0.3">
      <c r="E101" s="5">
        <v>44378</v>
      </c>
      <c r="F101" s="6">
        <v>0.36298397764415391</v>
      </c>
      <c r="G101" s="6">
        <v>0.34365587571392275</v>
      </c>
    </row>
    <row r="102" spans="5:7" x14ac:dyDescent="0.3">
      <c r="E102" s="5">
        <v>44409</v>
      </c>
      <c r="F102" s="6">
        <v>0.31197447271749962</v>
      </c>
      <c r="G102" s="6">
        <v>0.29207987294652327</v>
      </c>
    </row>
    <row r="103" spans="5:7" x14ac:dyDescent="0.3">
      <c r="E103" s="5">
        <v>44440</v>
      </c>
      <c r="F103" s="6">
        <v>0.30052193420987072</v>
      </c>
      <c r="G103" s="6">
        <v>0.28086233692016055</v>
      </c>
    </row>
    <row r="104" spans="5:7" x14ac:dyDescent="0.3">
      <c r="E104" s="5">
        <v>44470</v>
      </c>
      <c r="F104" s="6">
        <v>0.42622456504004003</v>
      </c>
      <c r="G104" s="6">
        <v>0.40839029768796742</v>
      </c>
    </row>
    <row r="105" spans="5:7" x14ac:dyDescent="0.3">
      <c r="E105" s="5">
        <v>44501</v>
      </c>
      <c r="F105" s="6">
        <v>0.27596904061096122</v>
      </c>
      <c r="G105" s="6">
        <v>0.26103443691859002</v>
      </c>
    </row>
    <row r="106" spans="5:7" x14ac:dyDescent="0.3">
      <c r="E106" s="5">
        <v>44531</v>
      </c>
      <c r="F106" s="6">
        <v>0.28824926423162422</v>
      </c>
      <c r="G106" s="6">
        <v>0.26892738661371246</v>
      </c>
    </row>
    <row r="107" spans="5:7" x14ac:dyDescent="0.3">
      <c r="E107" s="5">
        <v>44562</v>
      </c>
      <c r="F107" s="6">
        <v>0.23194868653552467</v>
      </c>
      <c r="G107" s="6">
        <v>0.21573991356507929</v>
      </c>
    </row>
    <row r="108" spans="5:7" x14ac:dyDescent="0.3">
      <c r="E108" s="5">
        <v>44593</v>
      </c>
      <c r="F108" s="6">
        <v>0.16324055218135081</v>
      </c>
      <c r="G108" s="6">
        <v>0.14766935268444834</v>
      </c>
    </row>
    <row r="109" spans="5:7" x14ac:dyDescent="0.3">
      <c r="E109" s="5">
        <v>44621</v>
      </c>
      <c r="F109" s="6">
        <v>0.15474539148877622</v>
      </c>
      <c r="G109" s="6">
        <v>0.14033116415166585</v>
      </c>
    </row>
    <row r="110" spans="5:7" x14ac:dyDescent="0.3">
      <c r="E110" s="5">
        <v>44652</v>
      </c>
      <c r="F110" s="6">
        <v>2.9181084441547969E-4</v>
      </c>
      <c r="G110" s="6">
        <v>-1.1776547476852835E-2</v>
      </c>
    </row>
    <row r="111" spans="5:7" x14ac:dyDescent="0.3">
      <c r="E111" s="5">
        <v>44682</v>
      </c>
      <c r="F111" s="6">
        <v>-3.989968602037792E-3</v>
      </c>
      <c r="G111" s="6">
        <v>-1.7116574798865088E-2</v>
      </c>
    </row>
    <row r="112" spans="5:7" x14ac:dyDescent="0.3">
      <c r="E112" s="5">
        <v>44713</v>
      </c>
      <c r="F112" s="6">
        <v>-0.10710064090384236</v>
      </c>
      <c r="G112" s="6">
        <v>-0.11916698480221059</v>
      </c>
    </row>
    <row r="113" spans="5:7" x14ac:dyDescent="0.3">
      <c r="E113" s="5">
        <v>44743</v>
      </c>
      <c r="F113" s="6">
        <v>-4.7119545935648412E-2</v>
      </c>
      <c r="G113" s="6">
        <v>-6.0285339363741031E-2</v>
      </c>
    </row>
    <row r="114" spans="5:7" x14ac:dyDescent="0.3">
      <c r="E114" s="5">
        <v>44774</v>
      </c>
      <c r="F114" s="6">
        <v>-0.11241338356531495</v>
      </c>
      <c r="G114" s="6">
        <v>-0.12551853186991907</v>
      </c>
    </row>
    <row r="115" spans="5:7" x14ac:dyDescent="0.3">
      <c r="E115" s="5">
        <v>44805</v>
      </c>
      <c r="F115" s="6">
        <v>-0.15585018507984288</v>
      </c>
      <c r="G115" s="6">
        <v>-0.16759447743453124</v>
      </c>
    </row>
    <row r="116" spans="5:7" x14ac:dyDescent="0.3">
      <c r="E116" s="5">
        <v>44835</v>
      </c>
      <c r="F116" s="6">
        <v>-0.14631653503373662</v>
      </c>
      <c r="G116" s="6">
        <v>-0.15924851391322437</v>
      </c>
    </row>
    <row r="117" spans="5:7" x14ac:dyDescent="0.3">
      <c r="E117" s="5">
        <v>44866</v>
      </c>
      <c r="F117" s="6">
        <v>-9.1559685200487018E-2</v>
      </c>
      <c r="G117" s="6">
        <v>-0.10661044286799322</v>
      </c>
    </row>
    <row r="118" spans="5:7" x14ac:dyDescent="0.3">
      <c r="E118" s="5">
        <v>44896</v>
      </c>
      <c r="F118" s="6">
        <v>-0.18263232700536411</v>
      </c>
      <c r="G118" s="6">
        <v>-0.19442827203429272</v>
      </c>
    </row>
    <row r="119" spans="5:7" x14ac:dyDescent="0.3">
      <c r="E119" s="5">
        <v>44927</v>
      </c>
      <c r="F119" s="6">
        <v>-8.1873319736936179E-2</v>
      </c>
      <c r="G119" s="6">
        <v>-9.7208474276063855E-2</v>
      </c>
    </row>
    <row r="120" spans="5:7" x14ac:dyDescent="0.3">
      <c r="E120" s="5">
        <v>44958</v>
      </c>
      <c r="F120" s="6">
        <v>-7.7734638664049505E-2</v>
      </c>
      <c r="G120" s="6">
        <v>-9.2317234454910899E-2</v>
      </c>
    </row>
    <row r="121" spans="5:7" x14ac:dyDescent="0.3">
      <c r="E121" s="5">
        <v>44986</v>
      </c>
      <c r="F121" s="6">
        <v>-7.8842370192177394E-2</v>
      </c>
      <c r="G121" s="6">
        <v>-9.2949663084106113E-2</v>
      </c>
    </row>
    <row r="122" spans="5:7" x14ac:dyDescent="0.3">
      <c r="E122" s="5">
        <v>45017</v>
      </c>
      <c r="F122" s="6">
        <v>2.6642980963745608E-2</v>
      </c>
      <c r="G122" s="6">
        <v>9.0877152057392222E-3</v>
      </c>
    </row>
    <row r="123" spans="5:7" x14ac:dyDescent="0.3">
      <c r="E123" s="5">
        <v>45047</v>
      </c>
      <c r="F123" s="6">
        <v>2.9059198630411728E-2</v>
      </c>
      <c r="G123" s="6">
        <v>1.1538830126711004E-2</v>
      </c>
    </row>
    <row r="124" spans="5:7" x14ac:dyDescent="0.3">
      <c r="E124" s="5">
        <v>45078</v>
      </c>
      <c r="F124" s="6">
        <v>0.19493763004574932</v>
      </c>
      <c r="G124" s="6">
        <v>0.17567589530959085</v>
      </c>
    </row>
    <row r="125" spans="5:7" x14ac:dyDescent="0.3">
      <c r="E125" s="5">
        <v>45108</v>
      </c>
      <c r="F125" s="6">
        <v>0.12931293203941452</v>
      </c>
      <c r="G125" s="6">
        <v>0.11105029369296052</v>
      </c>
    </row>
    <row r="126" spans="5:7" x14ac:dyDescent="0.3">
      <c r="E126" s="5">
        <v>45139</v>
      </c>
      <c r="F126" s="6">
        <v>0.15821676402014476</v>
      </c>
      <c r="G126" s="6">
        <v>0.13973708122629583</v>
      </c>
    </row>
    <row r="127" spans="5:7" x14ac:dyDescent="0.3">
      <c r="E127" s="5">
        <v>45170</v>
      </c>
      <c r="F127" s="6">
        <v>0.21636336217276761</v>
      </c>
      <c r="G127" s="6">
        <v>0.19590187039974943</v>
      </c>
    </row>
    <row r="128" spans="5:7" x14ac:dyDescent="0.3">
      <c r="E128" s="5">
        <v>45200</v>
      </c>
      <c r="F128" s="6">
        <v>9.98767664093788E-2</v>
      </c>
      <c r="G128" s="6">
        <v>8.3115053755982951E-2</v>
      </c>
    </row>
    <row r="129" spans="5:7" x14ac:dyDescent="0.3">
      <c r="E129" s="5">
        <v>45231</v>
      </c>
      <c r="F129" s="6">
        <v>0.13712898125671316</v>
      </c>
      <c r="G129" s="6">
        <v>0.11952856281464046</v>
      </c>
    </row>
    <row r="130" spans="5:7" x14ac:dyDescent="0.3">
      <c r="E130" s="5">
        <v>45261</v>
      </c>
      <c r="F130" s="6">
        <v>0.26243336461790284</v>
      </c>
      <c r="G130" s="6">
        <v>0.242305007976299</v>
      </c>
    </row>
    <row r="131" spans="5:7" x14ac:dyDescent="0.3">
      <c r="E131" s="5">
        <v>45292</v>
      </c>
      <c r="F131" s="6">
        <v>0.2060105245333973</v>
      </c>
      <c r="G131" s="6">
        <v>0.18864980284174745</v>
      </c>
    </row>
    <row r="132" spans="5:7" x14ac:dyDescent="0.3">
      <c r="E132" s="5">
        <v>45323</v>
      </c>
      <c r="F132" s="6">
        <v>0.30167569388612686</v>
      </c>
      <c r="G132" s="6">
        <v>0.28364675009442414</v>
      </c>
    </row>
    <row r="133" spans="5:7" x14ac:dyDescent="0.3">
      <c r="E133" s="5">
        <v>45352</v>
      </c>
      <c r="F133" s="6">
        <v>0.29710048723291543</v>
      </c>
      <c r="G133" s="6">
        <v>0.27864532554994037</v>
      </c>
    </row>
    <row r="134" spans="5:7" x14ac:dyDescent="0.3">
      <c r="E134" s="5">
        <v>45383</v>
      </c>
      <c r="F134" s="6">
        <v>0.22436282598933019</v>
      </c>
      <c r="G134" s="6">
        <v>0.20775011871866983</v>
      </c>
    </row>
    <row r="135" spans="5:7" x14ac:dyDescent="0.3">
      <c r="E135" s="5">
        <v>45413</v>
      </c>
      <c r="F135" s="6">
        <v>0.28038009131558828</v>
      </c>
      <c r="G135" s="6">
        <v>0.26261347159652965</v>
      </c>
    </row>
    <row r="136" spans="5:7" x14ac:dyDescent="0.3">
      <c r="E136" s="5">
        <v>45444</v>
      </c>
      <c r="F136" s="6">
        <v>0.24549009949449388</v>
      </c>
      <c r="G136" s="6">
        <v>0.22696941030973261</v>
      </c>
    </row>
    <row r="137" spans="5:7" x14ac:dyDescent="0.3">
      <c r="E137" s="5">
        <v>45474</v>
      </c>
      <c r="F137" s="6">
        <v>0.22002294506866865</v>
      </c>
      <c r="G137" s="6">
        <v>0.20338809919782427</v>
      </c>
    </row>
    <row r="138" spans="5:7" x14ac:dyDescent="0.3">
      <c r="E138" s="5">
        <v>45505</v>
      </c>
      <c r="F138" s="6">
        <v>0.2691562303590046</v>
      </c>
      <c r="G138" s="6">
        <v>0.25306693640426325</v>
      </c>
    </row>
    <row r="139" spans="5:7" x14ac:dyDescent="0.3">
      <c r="E139" s="5">
        <v>45536</v>
      </c>
      <c r="F139" s="6">
        <v>0.36096504657513184</v>
      </c>
      <c r="G139" s="6">
        <v>0.34384632710409996</v>
      </c>
    </row>
    <row r="140" spans="5:7" x14ac:dyDescent="0.3">
      <c r="E140" s="5">
        <v>45566</v>
      </c>
      <c r="F140" s="6">
        <v>0.37811933538769438</v>
      </c>
      <c r="G140" s="6">
        <v>0.36044886762009859</v>
      </c>
    </row>
    <row r="141" spans="5:7" x14ac:dyDescent="0.3">
      <c r="E141" s="5">
        <v>45597</v>
      </c>
      <c r="F141" s="6">
        <v>0.33807626659805329</v>
      </c>
      <c r="G141" s="6">
        <v>0.32063140696797621</v>
      </c>
    </row>
    <row r="142" spans="5:7" x14ac:dyDescent="0.3">
      <c r="E142" s="5">
        <v>45627</v>
      </c>
      <c r="F142" s="6">
        <v>0.24972180643197403</v>
      </c>
      <c r="G142" s="6">
        <v>0.23309002343424021</v>
      </c>
    </row>
    <row r="143" spans="5:7" x14ac:dyDescent="0.3">
      <c r="E143" s="5">
        <v>45658</v>
      </c>
      <c r="F143" s="6">
        <v>0.26230056227182097</v>
      </c>
      <c r="G143" s="6">
        <v>0.24658815781027824</v>
      </c>
    </row>
    <row r="144" spans="5:7" x14ac:dyDescent="0.3">
      <c r="E144" s="5">
        <v>45689</v>
      </c>
      <c r="F144" s="6">
        <v>0.18446254994500871</v>
      </c>
      <c r="G144" s="6">
        <v>0.16840355341840563</v>
      </c>
    </row>
    <row r="145" spans="5:7" x14ac:dyDescent="0.3">
      <c r="E145" s="5">
        <v>45717</v>
      </c>
      <c r="F145" s="6">
        <v>8.3154171106488095E-2</v>
      </c>
      <c r="G145" s="6">
        <v>6.8038861772736853E-2</v>
      </c>
    </row>
    <row r="146" spans="5:7" x14ac:dyDescent="0.3">
      <c r="E146" s="5">
        <v>45748</v>
      </c>
      <c r="F146" s="6">
        <v>0.11876544496433378</v>
      </c>
      <c r="G146" s="6">
        <v>0.10591798212233711</v>
      </c>
    </row>
    <row r="147" spans="5:7" x14ac:dyDescent="0.3">
      <c r="E147" s="5">
        <v>45778</v>
      </c>
      <c r="F147" s="6">
        <v>0.13182694149332363</v>
      </c>
      <c r="G147" s="6">
        <v>0.12016655656650327</v>
      </c>
    </row>
    <row r="148" spans="5:7" x14ac:dyDescent="0.3">
      <c r="E148" s="5">
        <v>45809</v>
      </c>
      <c r="F148" s="6">
        <v>0.14974404895635834</v>
      </c>
      <c r="G148" s="6">
        <v>0.13633787093929453</v>
      </c>
    </row>
    <row r="149" spans="5:7" x14ac:dyDescent="0.3">
      <c r="E149" s="5">
        <v>45839</v>
      </c>
      <c r="F149" s="6">
        <v>0.16183927551897745</v>
      </c>
      <c r="G149" s="6">
        <v>0.14796196529164865</v>
      </c>
    </row>
    <row r="150" spans="5:7" x14ac:dyDescent="0.3">
      <c r="E150" s="5">
        <v>45870</v>
      </c>
      <c r="F150" s="6">
        <v>0.15860796749441161</v>
      </c>
      <c r="G150" s="6">
        <v>0.14373271675477092</v>
      </c>
    </row>
    <row r="151" spans="5:7" x14ac:dyDescent="0.3">
      <c r="E151" s="5">
        <v>45901</v>
      </c>
      <c r="F151" s="6">
        <v>0.17553913662316167</v>
      </c>
      <c r="G151" s="6">
        <v>0.16069122732005153</v>
      </c>
    </row>
    <row r="152" spans="5:7" x14ac:dyDescent="0.3">
      <c r="E152" s="5">
        <v>45931</v>
      </c>
      <c r="F152" s="6">
        <v>0.21404066041853761</v>
      </c>
      <c r="G152" s="6">
        <v>0.19888877497034171</v>
      </c>
    </row>
    <row r="153" spans="5:7" x14ac:dyDescent="0.3">
      <c r="E153" s="5">
        <v>45962</v>
      </c>
      <c r="F153" s="6">
        <v>0.1479516834374239</v>
      </c>
      <c r="G153" s="6">
        <v>0.13538768724835712</v>
      </c>
    </row>
    <row r="154" spans="5:7" x14ac:dyDescent="0.3">
      <c r="E154" s="5">
        <v>45992</v>
      </c>
      <c r="F154" s="6">
        <v>0.17767279889248863</v>
      </c>
      <c r="G154" s="6">
        <v>0.16387806380067441</v>
      </c>
    </row>
    <row r="155" spans="5:7" x14ac:dyDescent="0.3">
      <c r="E155" s="5">
        <v>46023</v>
      </c>
      <c r="F155" s="6">
        <v>0.16329788958740263</v>
      </c>
      <c r="G155" s="6">
        <v>0.14874523128880798</v>
      </c>
    </row>
    <row r="156" spans="5:7" x14ac:dyDescent="0.3">
      <c r="E156" s="5">
        <v>46054</v>
      </c>
      <c r="F156" s="6">
        <v>0.17393057115051966</v>
      </c>
      <c r="G156" s="6">
        <v>0.16038454372743302</v>
      </c>
    </row>
    <row r="157" spans="5:7" x14ac:dyDescent="0.3">
      <c r="E157" s="5" t="s">
        <v>21</v>
      </c>
      <c r="F157">
        <v>17.740274222404473</v>
      </c>
      <c r="G157">
        <v>15.426657187742601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54E2-0104-46A1-9A9B-A92118874D29}">
  <dimension ref="A1:V38"/>
  <sheetViews>
    <sheetView showGridLines="0" tabSelected="1" workbookViewId="0">
      <selection activeCell="P4" sqref="P4"/>
    </sheetView>
  </sheetViews>
  <sheetFormatPr defaultRowHeight="14.4" x14ac:dyDescent="0.3"/>
  <cols>
    <col min="18" max="18" width="3.77734375" customWidth="1"/>
    <col min="19" max="19" width="14.21875" customWidth="1"/>
    <col min="20" max="20" width="11.33203125" customWidth="1"/>
    <col min="21" max="21" width="11.5546875" customWidth="1"/>
    <col min="22" max="22" width="13.88671875" bestFit="1" customWidth="1"/>
  </cols>
  <sheetData>
    <row r="1" spans="1:8" ht="25.8" x14ac:dyDescent="0.5">
      <c r="A1" s="13" t="s">
        <v>28</v>
      </c>
      <c r="B1" s="13"/>
      <c r="C1" s="13"/>
      <c r="D1" s="13"/>
      <c r="E1" s="13"/>
      <c r="F1" s="13"/>
      <c r="G1" s="13"/>
      <c r="H1" s="13"/>
    </row>
    <row r="2" spans="1:8" x14ac:dyDescent="0.3">
      <c r="A2" s="14" t="s">
        <v>29</v>
      </c>
      <c r="B2" s="14"/>
      <c r="C2" s="14"/>
      <c r="D2" s="14"/>
      <c r="E2" s="14"/>
      <c r="F2" s="14"/>
    </row>
    <row r="23" spans="19:22" x14ac:dyDescent="0.3">
      <c r="S23" t="s">
        <v>10</v>
      </c>
      <c r="T23" t="s">
        <v>22</v>
      </c>
      <c r="U23" t="s">
        <v>23</v>
      </c>
      <c r="V23" t="s">
        <v>49</v>
      </c>
    </row>
    <row r="24" spans="19:22" x14ac:dyDescent="0.3">
      <c r="S24" t="s">
        <v>13</v>
      </c>
      <c r="T24" s="8">
        <v>-3.6706477663515165E-3</v>
      </c>
      <c r="U24" s="8">
        <v>-4.2541998586601085E-3</v>
      </c>
      <c r="V24" s="8">
        <f>Table5[[#This Row],[SPY]]-Table5[[#This Row],[S&amp;P 500]]</f>
        <v>5.8355209230859196E-4</v>
      </c>
    </row>
    <row r="25" spans="19:22" x14ac:dyDescent="0.3">
      <c r="S25" t="s">
        <v>14</v>
      </c>
      <c r="T25" s="8">
        <v>0.17393057115051969</v>
      </c>
      <c r="U25" s="8">
        <v>0.16038454372743294</v>
      </c>
      <c r="V25" s="8">
        <f>Table5[[#This Row],[SPY]]-Table5[[#This Row],[S&amp;P 500]]</f>
        <v>1.3546027423086748E-2</v>
      </c>
    </row>
    <row r="26" spans="19:22" x14ac:dyDescent="0.3">
      <c r="T26" s="8"/>
      <c r="U26" s="8"/>
      <c r="V26" s="8"/>
    </row>
    <row r="27" spans="19:22" x14ac:dyDescent="0.3">
      <c r="S27" t="s">
        <v>15</v>
      </c>
      <c r="T27" s="8">
        <v>0.39047679776334498</v>
      </c>
      <c r="U27" s="8">
        <v>0.35579742422292804</v>
      </c>
      <c r="V27" s="8">
        <f>Table5[[#This Row],[SPY]]-Table5[[#This Row],[S&amp;P 500]]</f>
        <v>3.4679373540416947E-2</v>
      </c>
    </row>
    <row r="28" spans="19:22" x14ac:dyDescent="0.3">
      <c r="T28" s="8"/>
      <c r="U28" s="8"/>
      <c r="V28" s="8"/>
    </row>
    <row r="29" spans="19:22" x14ac:dyDescent="0.3">
      <c r="S29" t="s">
        <v>16</v>
      </c>
      <c r="T29" s="8">
        <v>0.80994985056116175</v>
      </c>
      <c r="U29" s="8">
        <v>0.74036495739015296</v>
      </c>
      <c r="V29" s="8">
        <f>Table5[[#This Row],[SPY]]-Table5[[#This Row],[S&amp;P 500]]</f>
        <v>6.9584893171008799E-2</v>
      </c>
    </row>
    <row r="30" spans="19:22" x14ac:dyDescent="0.3">
      <c r="T30" s="8"/>
      <c r="U30" s="8"/>
      <c r="V30" s="8"/>
    </row>
    <row r="31" spans="19:22" x14ac:dyDescent="0.3">
      <c r="S31" t="s">
        <v>17</v>
      </c>
      <c r="T31" s="8">
        <v>0.66925405292773954</v>
      </c>
      <c r="U31" s="8">
        <v>0.57969927758165518</v>
      </c>
      <c r="V31" s="8">
        <f>Table5[[#This Row],[SPY]]-Table5[[#This Row],[S&amp;P 500]]</f>
        <v>8.9554775346084359E-2</v>
      </c>
    </row>
    <row r="32" spans="19:22" x14ac:dyDescent="0.3">
      <c r="T32" s="8"/>
      <c r="U32" s="8"/>
      <c r="V32" s="8"/>
    </row>
    <row r="33" spans="1:22" x14ac:dyDescent="0.3">
      <c r="S33" t="s">
        <v>18</v>
      </c>
      <c r="T33" s="8">
        <v>0.94174400625862154</v>
      </c>
      <c r="U33" s="8">
        <v>0.81297244733822871</v>
      </c>
      <c r="V33" s="8">
        <f>Table5[[#This Row],[SPY]]-Table5[[#This Row],[S&amp;P 500]]</f>
        <v>0.12877155892039283</v>
      </c>
    </row>
    <row r="34" spans="1:22" x14ac:dyDescent="0.3">
      <c r="T34" s="8"/>
      <c r="U34" s="8"/>
      <c r="V34" s="8"/>
    </row>
    <row r="35" spans="1:22" x14ac:dyDescent="0.3">
      <c r="S35" t="s">
        <v>19</v>
      </c>
      <c r="T35" s="8">
        <v>0.15328523568268881</v>
      </c>
      <c r="U35" s="8">
        <v>0.13227169662894922</v>
      </c>
      <c r="V35" s="8">
        <f>Table5[[#This Row],[SPY]]-Table5[[#This Row],[S&amp;P 500]]</f>
        <v>2.1013539053739594E-2</v>
      </c>
    </row>
    <row r="37" spans="1:22" ht="23.4" x14ac:dyDescent="0.45">
      <c r="A37" s="12" t="s">
        <v>50</v>
      </c>
      <c r="B37" s="12"/>
      <c r="C37" s="12"/>
      <c r="D37" s="12"/>
      <c r="E37" s="12"/>
      <c r="F37" s="12"/>
      <c r="G37" s="12"/>
      <c r="H37" s="12"/>
    </row>
    <row r="38" spans="1:22" ht="23.4" x14ac:dyDescent="0.45">
      <c r="A38" s="11"/>
      <c r="B38" s="11"/>
      <c r="C38" s="11"/>
      <c r="D38" s="11"/>
      <c r="E38" s="11"/>
      <c r="F38" s="11"/>
      <c r="G38" s="11"/>
    </row>
  </sheetData>
  <mergeCells count="3">
    <mergeCell ref="A37:H37"/>
    <mergeCell ref="A1:H1"/>
    <mergeCell ref="A2:F2"/>
  </mergeCells>
  <conditionalFormatting sqref="T24:V3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Prices</vt:lpstr>
      <vt:lpstr>Returns</vt:lpstr>
      <vt:lpstr>Summary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Cobbinah</dc:creator>
  <cp:lastModifiedBy>Jerry Cobbinah</cp:lastModifiedBy>
  <dcterms:created xsi:type="dcterms:W3CDTF">2026-02-22T16:57:20Z</dcterms:created>
  <dcterms:modified xsi:type="dcterms:W3CDTF">2026-03-05T18:43:25Z</dcterms:modified>
</cp:coreProperties>
</file>